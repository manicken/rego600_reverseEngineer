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ommandList" sheetId="1" state="visible" r:id="rId3"/>
    <sheet name="FrontPanel Registers" sheetId="2" state="visible" r:id="rId4"/>
    <sheet name="System Registers" sheetId="3" state="visible" r:id="rId5"/>
    <sheet name="Timer_Counter Registers" sheetId="4" state="visible" r:id="rId6"/>
    <sheet name="0x1B08 Registers" sheetId="5" state="visible" r:id="rId7"/>
    <sheet name="LCD Registers" sheetId="6" state="visible" r:id="rId8"/>
    <sheet name="övriga register" sheetId="7" state="visible" r:id="rId9"/>
    <sheet name="empty registers sheet" sheetId="8" state="visible" r:id="rId10"/>
    <sheet name="Sheet8" sheetId="9" state="visible" r:id="rId11"/>
    <sheet name="sensor ADC lockup offsets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<sst xmlns="http://schemas.openxmlformats.org/spreadsheetml/2006/main" count="628" uniqueCount="450">
  <si>
    <t xml:space="preserve">alla requests är 9 bytes långa, börjar med 0x80 och slutar med EXOR CHECKSUM (som räknas ut endast av de 6 bytes payload)</t>
  </si>
  <si>
    <t xml:space="preserve">parametrar är enkodade i 7bitars värden så ett 16 bitars värde (2bytes) blir 3 bytes enligt formel: </t>
  </si>
  <si>
    <t xml:space="preserve">value7bit_A = (value_16bit &gt;&gt; 14) &amp; 0x7F</t>
  </si>
  <si>
    <t xml:space="preserve">value7bit_B = (value_16bit &gt;&gt; 7) &amp; 0x7F</t>
  </si>
  <si>
    <t xml:space="preserve">value7bit_C = (value_16bit) &amp; 0x7F</t>
  </si>
  <si>
    <t xml:space="preserve">alla svar börjar alltid med 0x01, och write requests svarar endast med 0x01 dvs dem har varken payload eller crc</t>
  </si>
  <si>
    <t xml:space="preserve">beskrivning</t>
  </si>
  <si>
    <t xml:space="preserve">payload</t>
  </si>
  <si>
    <t xml:space="preserve">respons</t>
  </si>
  <si>
    <t xml:space="preserve">RAM adress</t>
  </si>
  <si>
    <t xml:space="preserve">cmd</t>
  </si>
  <si>
    <t xml:space="preserve">1:a param</t>
  </si>
  <si>
    <t xml:space="preserve">2:a param</t>
  </si>
  <si>
    <t xml:space="preserve">Total byte count</t>
  </si>
  <si>
    <t xml:space="preserve">Payload typ</t>
  </si>
  <si>
    <t xml:space="preserve">offset</t>
  </si>
  <si>
    <t xml:space="preserve">formel</t>
  </si>
  <si>
    <t xml:space="preserve">Range (in bytes)</t>
  </si>
  <si>
    <t xml:space="preserve">beskrivn.</t>
  </si>
  <si>
    <t xml:space="preserve">typ</t>
  </si>
  <si>
    <t xml:space="preserve">Read Front Panel registers</t>
  </si>
  <si>
    <t xml:space="preserve">00</t>
  </si>
  <si>
    <t xml:space="preserve">reg index</t>
  </si>
  <si>
    <t xml:space="preserve">8bit</t>
  </si>
  <si>
    <t xml:space="preserve">0x0000</t>
  </si>
  <si>
    <t xml:space="preserve">-</t>
  </si>
  <si>
    <t xml:space="preserve">16bit</t>
  </si>
  <si>
    <t xml:space="preserve">0x09A6</t>
  </si>
  <si>
    <t xml:space="preserve">0x09A6 – 0x0BA5</t>
  </si>
  <si>
    <t xml:space="preserve">Write Front Panel registers</t>
  </si>
  <si>
    <t xml:space="preserve">01</t>
  </si>
  <si>
    <t xml:space="preserve">data</t>
  </si>
  <si>
    <t xml:space="preserve">Read ”System” Registers</t>
  </si>
  <si>
    <t xml:space="preserve">02</t>
  </si>
  <si>
    <t xml:space="preserve">0x12EC</t>
  </si>
  <si>
    <t xml:space="preserve">0x12EC – 0x112EB(wrapped)</t>
  </si>
  <si>
    <t xml:space="preserve">Write ”System” Registers</t>
  </si>
  <si>
    <t xml:space="preserve">03</t>
  </si>
  <si>
    <t xml:space="preserve">Read Timer/Counter Registers</t>
  </si>
  <si>
    <t xml:space="preserve">04</t>
  </si>
  <si>
    <t xml:space="preserve">0x1AEC</t>
  </si>
  <si>
    <t xml:space="preserve">0x1AEC – 0x1CEB</t>
  </si>
  <si>
    <t xml:space="preserve">Write Timer/Counter Registers</t>
  </si>
  <si>
    <t xml:space="preserve">05</t>
  </si>
  <si>
    <t xml:space="preserve">Read registers @ 0x1B08 </t>
  </si>
  <si>
    <t xml:space="preserve">06</t>
  </si>
  <si>
    <t xml:space="preserve">0x1B08</t>
  </si>
  <si>
    <t xml:space="preserve">0x1B08 – 0x1D07</t>
  </si>
  <si>
    <t xml:space="preserve">Write registers @ 0x1B08 </t>
  </si>
  <si>
    <t xml:space="preserve">07</t>
  </si>
  <si>
    <t xml:space="preserve">Read one line of the LCD</t>
  </si>
  <si>
    <t xml:space="preserve">20</t>
  </si>
  <si>
    <t xml:space="preserve">line index</t>
  </si>
  <si>
    <t xml:space="preserve">Nibble-packed</t>
  </si>
  <si>
    <t xml:space="preserve">0x0A6E</t>
  </si>
  <si>
    <t xml:space="preserve">0x0A6E – 0x0C6D</t>
  </si>
  <si>
    <t xml:space="preserve">Read last error line</t>
  </si>
  <si>
    <t xml:space="preserve">40</t>
  </si>
  <si>
    <t xml:space="preserve">Read previous error line (prev from last reading)</t>
  </si>
  <si>
    <t xml:space="preserve">42</t>
  </si>
  <si>
    <t xml:space="preserve">Read rego version (just returns a constant 0x0258 = 600)</t>
  </si>
  <si>
    <t xml:space="preserve">7F</t>
  </si>
  <si>
    <t xml:space="preserve">alla nibble packed data är så att man tar en byte och splittar den i två bytes, där msb nibble skickas först</t>
  </si>
  <si>
    <t xml:space="preserve">t.ex. Hello World i hexadecimal form är 48 65 6c 6c 6f 20 57 6f 72 6c 64  det blir då:</t>
  </si>
  <si>
    <t xml:space="preserve">0408 0605 060C 060C 060f 0200 0507 060f 0702 060c 0604 </t>
  </si>
  <si>
    <t xml:space="preserve">16fe</t>
  </si>
  <si>
    <t xml:space="preserve">adress</t>
  </si>
  <si>
    <t xml:space="preserve">register index</t>
  </si>
  <si>
    <t xml:space="preserve">intern adress</t>
  </si>
  <si>
    <t xml:space="preserve">data beskrivning</t>
  </si>
  <si>
    <t xml:space="preserve">index för att kunna använda med sysreg cmd läsning</t>
  </si>
  <si>
    <t xml:space="preserve">buttons</t>
  </si>
  <si>
    <t xml:space="preserve">0x0008</t>
  </si>
  <si>
    <t xml:space="preserve">0x09B6</t>
  </si>
  <si>
    <t xml:space="preserve">send 0x0001 to click button</t>
  </si>
  <si>
    <t xml:space="preserve">Power (On/Off)</t>
  </si>
  <si>
    <t xml:space="preserve">0x7b65</t>
  </si>
  <si>
    <t xml:space="preserve">0x0009</t>
  </si>
  <si>
    <t xml:space="preserve">0x09B8</t>
  </si>
  <si>
    <t xml:space="preserve">Key1 / Left / Temp</t>
  </si>
  <si>
    <t xml:space="preserve">0x7b66</t>
  </si>
  <si>
    <t xml:space="preserve">0x000A</t>
  </si>
  <si>
    <t xml:space="preserve">0x09BA</t>
  </si>
  <si>
    <t xml:space="preserve">Key2 / Middle / Info</t>
  </si>
  <si>
    <t xml:space="preserve">0x7b67</t>
  </si>
  <si>
    <t xml:space="preserve">0x000B</t>
  </si>
  <si>
    <t xml:space="preserve">0x09BC</t>
  </si>
  <si>
    <t xml:space="preserve">Key3 / Right / Menu</t>
  </si>
  <si>
    <t xml:space="preserve">0x7b68</t>
  </si>
  <si>
    <t xml:space="preserve">LED:s</t>
  </si>
  <si>
    <t xml:space="preserve">0x0012</t>
  </si>
  <si>
    <t xml:space="preserve">0x09CA</t>
  </si>
  <si>
    <t xml:space="preserve">0x0001 = on</t>
  </si>
  <si>
    <t xml:space="preserve">1 – power</t>
  </si>
  <si>
    <t xml:space="preserve">0x7b6f</t>
  </si>
  <si>
    <t xml:space="preserve">0x0013</t>
  </si>
  <si>
    <t xml:space="preserve">0x09CC</t>
  </si>
  <si>
    <t xml:space="preserve">2 – pump</t>
  </si>
  <si>
    <t xml:space="preserve">0x7b70</t>
  </si>
  <si>
    <t xml:space="preserve">0x0014</t>
  </si>
  <si>
    <t xml:space="preserve">0x09CE</t>
  </si>
  <si>
    <t xml:space="preserve">3 – add heat</t>
  </si>
  <si>
    <t xml:space="preserve">0x7b71</t>
  </si>
  <si>
    <t xml:space="preserve">0x0015</t>
  </si>
  <si>
    <t xml:space="preserve">0x09D0</t>
  </si>
  <si>
    <t xml:space="preserve">4 – varmwater</t>
  </si>
  <si>
    <t xml:space="preserve">0x7b72</t>
  </si>
  <si>
    <t xml:space="preserve">0x0016</t>
  </si>
  <si>
    <t xml:space="preserve">0x09D2</t>
  </si>
  <si>
    <t xml:space="preserve">5 – alarm</t>
  </si>
  <si>
    <t xml:space="preserve">0x7b73</t>
  </si>
  <si>
    <t xml:space="preserve">0x0038</t>
  </si>
  <si>
    <t xml:space="preserve">0x0A16</t>
  </si>
  <si>
    <t xml:space="preserve">16 bitars värde</t>
  </si>
  <si>
    <t xml:space="preserve">lagrar current access level: 0x01(kund1), 0x02(kund2), 0x04(service), 0x08(fabrik)</t>
  </si>
  <si>
    <t xml:space="preserve">0x003B</t>
  </si>
  <si>
    <t xml:space="preserve">0x0A1C</t>
  </si>
  <si>
    <t xml:space="preserve">LCD Backlight: sätt till 0x1 för att tända display backgrundsbelysning, 0x0 för att släcka</t>
  </si>
  <si>
    <t xml:space="preserve">0x0044</t>
  </si>
  <si>
    <t xml:space="preserve">0x0A2E</t>
  </si>
  <si>
    <t xml:space="preserve">0x0001 = right, 0xFFFF = left</t>
  </si>
  <si>
    <t xml:space="preserve">Rotary encoder wheel</t>
  </si>
  <si>
    <t xml:space="preserve">0x7ba1</t>
  </si>
  <si>
    <t xml:space="preserve">read cmd 02</t>
  </si>
  <si>
    <t xml:space="preserve">write cmd 03</t>
  </si>
  <si>
    <t xml:space="preserve">stored in flash</t>
  </si>
  <si>
    <t xml:space="preserve">Y</t>
  </si>
  <si>
    <t xml:space="preserve">Heat curve</t>
  </si>
  <si>
    <t xml:space="preserve">0x0001</t>
  </si>
  <si>
    <t xml:space="preserve">0x12EE</t>
  </si>
  <si>
    <t xml:space="preserve">Heat curve fine adjust</t>
  </si>
  <si>
    <t xml:space="preserve">0x0002</t>
  </si>
  <si>
    <t xml:space="preserve">0x12F0</t>
  </si>
  <si>
    <t xml:space="preserve">Heat curve coupling difference</t>
  </si>
  <si>
    <t xml:space="preserve">0x12FC</t>
  </si>
  <si>
    <t xml:space="preserve">Adj. curve at -35° out </t>
  </si>
  <si>
    <t xml:space="preserve">0x1300</t>
  </si>
  <si>
    <t xml:space="preserve">Adj. curve at -30° out</t>
  </si>
  <si>
    <t xml:space="preserve">0x000C</t>
  </si>
  <si>
    <t xml:space="preserve">0x1304</t>
  </si>
  <si>
    <t xml:space="preserve">Adj. curve at -25° out</t>
  </si>
  <si>
    <t xml:space="preserve">0x000E</t>
  </si>
  <si>
    <t xml:space="preserve">0x1308</t>
  </si>
  <si>
    <t xml:space="preserve">Adj. curve at -20° out </t>
  </si>
  <si>
    <t xml:space="preserve">0x0010</t>
  </si>
  <si>
    <t xml:space="preserve">0x130C</t>
  </si>
  <si>
    <t xml:space="preserve">Adj. curve at -15° out </t>
  </si>
  <si>
    <t xml:space="preserve">0x1310</t>
  </si>
  <si>
    <t xml:space="preserve">Adj. curve at -10° out </t>
  </si>
  <si>
    <t xml:space="preserve">0x1314</t>
  </si>
  <si>
    <t xml:space="preserve">Adj. curve at -5° out </t>
  </si>
  <si>
    <t xml:space="preserve">0x1318</t>
  </si>
  <si>
    <t xml:space="preserve">Adj. curve at 0° out </t>
  </si>
  <si>
    <t xml:space="preserve">0x0018</t>
  </si>
  <si>
    <t xml:space="preserve">0x131C</t>
  </si>
  <si>
    <t xml:space="preserve">Adj. curve at 5° out </t>
  </si>
  <si>
    <t xml:space="preserve">0x001A</t>
  </si>
  <si>
    <t xml:space="preserve">0x1320</t>
  </si>
  <si>
    <t xml:space="preserve">Adj. curve at 10° out </t>
  </si>
  <si>
    <t xml:space="preserve">0x001C</t>
  </si>
  <si>
    <t xml:space="preserve">0x1324</t>
  </si>
  <si>
    <t xml:space="preserve">Adj. curve at 15° out </t>
  </si>
  <si>
    <t xml:space="preserve">0x001E</t>
  </si>
  <si>
    <t xml:space="preserve">0x1328</t>
  </si>
  <si>
    <t xml:space="preserve">Adj. curve at 20° out </t>
  </si>
  <si>
    <t xml:space="preserve">0x0021</t>
  </si>
  <si>
    <t xml:space="preserve">0x132E</t>
  </si>
  <si>
    <t xml:space="preserve">Indoor temp setting (GT5)</t>
  </si>
  <si>
    <t xml:space="preserve">0x0022</t>
  </si>
  <si>
    <t xml:space="preserve">0x1330</t>
  </si>
  <si>
    <t xml:space="preserve">Curve infl. by in-temp. </t>
  </si>
  <si>
    <t xml:space="preserve">0x002B</t>
  </si>
  <si>
    <t xml:space="preserve">0x1342</t>
  </si>
  <si>
    <t xml:space="preserve">GT3 Target value </t>
  </si>
  <si>
    <t xml:space="preserve">0x003C</t>
  </si>
  <si>
    <t xml:space="preserve">0x1364</t>
  </si>
  <si>
    <t xml:space="preserve">bestämmer vad extern styrning gör: 0(VP=on  EL=on  VV=on), 1(VP=off  EL=off  VV=off), 2(VP=on  EL=off  VV=off), 3(VP=on  EL=off  VV=on), 4(VP=on  EL=on  VV=off),</t>
  </si>
  <si>
    <t xml:space="preserve">0x003D</t>
  </si>
  <si>
    <t xml:space="preserve">0x1366</t>
  </si>
  <si>
    <t xml:space="preserve">Language setting</t>
  </si>
  <si>
    <t xml:space="preserve">---</t>
  </si>
  <si>
    <t xml:space="preserve">0x003E</t>
  </si>
  <si>
    <t xml:space="preserve">0x1368</t>
  </si>
  <si>
    <t xml:space="preserve">användas på meny typ 15 för visning av mystisk hårdkodad ’Adress’ sträng, troligtvis developer test, har ingen funktion</t>
  </si>
  <si>
    <t xml:space="preserve">0x41</t>
  </si>
  <si>
    <t xml:space="preserve">0x136E</t>
  </si>
  <si>
    <t xml:space="preserve">16bit value ex. 3060 (dec)</t>
  </si>
  <si>
    <t xml:space="preserve">Get/Set(temporary) firmware version</t>
  </si>
  <si>
    <t xml:space="preserve">0x0042</t>
  </si>
  <si>
    <t xml:space="preserve">0x1370</t>
  </si>
  <si>
    <t xml:space="preserve">Add heat opening time (setting 8.3.4) </t>
  </si>
  <si>
    <t xml:space="preserve">0x0043</t>
  </si>
  <si>
    <t xml:space="preserve">0x1372</t>
  </si>
  <si>
    <t xml:space="preserve">Add heat closing time (setting 8.3.5) </t>
  </si>
  <si>
    <t xml:space="preserve">0x0052</t>
  </si>
  <si>
    <t xml:space="preserve">0x1390</t>
  </si>
  <si>
    <t xml:space="preserve">Add heat activation time </t>
  </si>
  <si>
    <t xml:space="preserve">0x65</t>
  </si>
  <si>
    <t xml:space="preserve">calibration data??? </t>
  </si>
  <si>
    <t xml:space="preserve">0x66</t>
  </si>
  <si>
    <t xml:space="preserve">0x67</t>
  </si>
  <si>
    <t xml:space="preserve">0x68</t>
  </si>
  <si>
    <t xml:space="preserve">0x69</t>
  </si>
  <si>
    <t xml:space="preserve">0x006B</t>
  </si>
  <si>
    <t xml:space="preserve">0x13C2</t>
  </si>
  <si>
    <t xml:space="preserve">Add heat connected cassete power </t>
  </si>
  <si>
    <t xml:space="preserve">0x006C</t>
  </si>
  <si>
    <t xml:space="preserve">0x13C4</t>
  </si>
  <si>
    <t xml:space="preserve">Add heat power in % </t>
  </si>
  <si>
    <t xml:space="preserve">0x006D</t>
  </si>
  <si>
    <t xml:space="preserve">0x13C6</t>
  </si>
  <si>
    <t xml:space="preserve">GT4 Target value </t>
  </si>
  <si>
    <t xml:space="preserve">0x006E</t>
  </si>
  <si>
    <t xml:space="preserve">0x13C8</t>
  </si>
  <si>
    <t xml:space="preserve">GT1 Target value </t>
  </si>
  <si>
    <t xml:space="preserve">0x006F</t>
  </si>
  <si>
    <t xml:space="preserve">0x13CA</t>
  </si>
  <si>
    <t xml:space="preserve">GT1 On value </t>
  </si>
  <si>
    <t xml:space="preserve">0x0070</t>
  </si>
  <si>
    <t xml:space="preserve">0x13CC</t>
  </si>
  <si>
    <t xml:space="preserve">GT1 Off value </t>
  </si>
  <si>
    <t xml:space="preserve">0x0073</t>
  </si>
  <si>
    <t xml:space="preserve">0x13D2</t>
  </si>
  <si>
    <t xml:space="preserve">GT3 On value </t>
  </si>
  <si>
    <t xml:space="preserve">0x0074</t>
  </si>
  <si>
    <t xml:space="preserve">0x13D4</t>
  </si>
  <si>
    <t xml:space="preserve">GT3 Off value </t>
  </si>
  <si>
    <t xml:space="preserve">0x76</t>
  </si>
  <si>
    <t xml:space="preserve">on/off state</t>
  </si>
  <si>
    <t xml:space="preserve">0x01FB</t>
  </si>
  <si>
    <t xml:space="preserve">0x16E2</t>
  </si>
  <si>
    <t xml:space="preserve">extern styrning ingång läge avläsning</t>
  </si>
  <si>
    <t xml:space="preserve">0x01FD</t>
  </si>
  <si>
    <t xml:space="preserve">0x16E6</t>
  </si>
  <si>
    <t xml:space="preserve">Ground loop pump [P3] </t>
  </si>
  <si>
    <t xml:space="preserve">0x01FE</t>
  </si>
  <si>
    <t xml:space="preserve">0x16E8</t>
  </si>
  <si>
    <t xml:space="preserve">Compressor </t>
  </si>
  <si>
    <t xml:space="preserve">0x01FF</t>
  </si>
  <si>
    <t xml:space="preserve">0x16EA</t>
  </si>
  <si>
    <t xml:space="preserve">Additional heat 3kW </t>
  </si>
  <si>
    <t xml:space="preserve">0x0200</t>
  </si>
  <si>
    <t xml:space="preserve">0x16EC</t>
  </si>
  <si>
    <t xml:space="preserve">Additional heat 6kW </t>
  </si>
  <si>
    <t xml:space="preserve">0x0203</t>
  </si>
  <si>
    <t xml:space="preserve">0x16F2</t>
  </si>
  <si>
    <t xml:space="preserve">Radiator pump [P1] </t>
  </si>
  <si>
    <t xml:space="preserve">0x0204</t>
  </si>
  <si>
    <t xml:space="preserve">0x16F4</t>
  </si>
  <si>
    <t xml:space="preserve">Heat carrier pump [P2] </t>
  </si>
  <si>
    <t xml:space="preserve">0x0205</t>
  </si>
  <si>
    <t xml:space="preserve">0x16F6</t>
  </si>
  <si>
    <t xml:space="preserve">Tree-way valve [VXV] </t>
  </si>
  <si>
    <t xml:space="preserve">0x0206</t>
  </si>
  <si>
    <t xml:space="preserve">0x16F8</t>
  </si>
  <si>
    <t xml:space="preserve">Alarm </t>
  </si>
  <si>
    <t xml:space="preserve">lockup index registry adress</t>
  </si>
  <si>
    <t xml:space="preserve">0x0209</t>
  </si>
  <si>
    <t xml:space="preserve">0x16FE</t>
  </si>
  <si>
    <t xml:space="preserve">Radiator return [GT1] </t>
  </si>
  <si>
    <t xml:space="preserve">1b64</t>
  </si>
  <si>
    <t xml:space="preserve">0x020A</t>
  </si>
  <si>
    <t xml:space="preserve">0x1700</t>
  </si>
  <si>
    <t xml:space="preserve">Outdoor [GT2] </t>
  </si>
  <si>
    <t xml:space="preserve">1b66</t>
  </si>
  <si>
    <t xml:space="preserve">0x020B</t>
  </si>
  <si>
    <t xml:space="preserve">0x1702</t>
  </si>
  <si>
    <t xml:space="preserve">Hot water [GT3] </t>
  </si>
  <si>
    <t xml:space="preserve">1b70</t>
  </si>
  <si>
    <t xml:space="preserve">0x020C</t>
  </si>
  <si>
    <t xml:space="preserve">0x1704</t>
  </si>
  <si>
    <t xml:space="preserve">Forward [GT4] </t>
  </si>
  <si>
    <t xml:space="preserve">1b5e</t>
  </si>
  <si>
    <t xml:space="preserve">0x020D</t>
  </si>
  <si>
    <t xml:space="preserve">0x1706</t>
  </si>
  <si>
    <t xml:space="preserve">Room [GT5] </t>
  </si>
  <si>
    <t xml:space="preserve">1b5c</t>
  </si>
  <si>
    <t xml:space="preserve">0x020E</t>
  </si>
  <si>
    <t xml:space="preserve">0x1708</t>
  </si>
  <si>
    <t xml:space="preserve">Compressor [GT6] </t>
  </si>
  <si>
    <t xml:space="preserve">1b6e</t>
  </si>
  <si>
    <t xml:space="preserve">0x020F</t>
  </si>
  <si>
    <t xml:space="preserve">0x170A</t>
  </si>
  <si>
    <t xml:space="preserve">Heat fluid out [GT8] </t>
  </si>
  <si>
    <t xml:space="preserve">1b6c</t>
  </si>
  <si>
    <t xml:space="preserve">0x0210</t>
  </si>
  <si>
    <t xml:space="preserve">0x170C</t>
  </si>
  <si>
    <t xml:space="preserve">Heat fluid in [GT9] </t>
  </si>
  <si>
    <t xml:space="preserve">1bf3</t>
  </si>
  <si>
    <t xml:space="preserve">0x0211</t>
  </si>
  <si>
    <t xml:space="preserve">0x170E</t>
  </si>
  <si>
    <t xml:space="preserve">Cold fluid in [GT10] </t>
  </si>
  <si>
    <t xml:space="preserve">1b6a</t>
  </si>
  <si>
    <t xml:space="preserve">0x0212</t>
  </si>
  <si>
    <t xml:space="preserve">0x1710</t>
  </si>
  <si>
    <t xml:space="preserve">Cold fluid out [GT11] </t>
  </si>
  <si>
    <t xml:space="preserve">1b60</t>
  </si>
  <si>
    <t xml:space="preserve">0x0213</t>
  </si>
  <si>
    <t xml:space="preserve">0x1712</t>
  </si>
  <si>
    <t xml:space="preserve">External hot water [GT3x] </t>
  </si>
  <si>
    <t xml:space="preserve">1b62</t>
  </si>
  <si>
    <t xml:space="preserve">Service Port Analog Input</t>
  </si>
  <si>
    <t xml:space="preserve">1b68</t>
  </si>
  <si>
    <t xml:space="preserve">Added heat timer in sec. </t>
  </si>
  <si>
    <t xml:space="preserve">0x1AF0</t>
  </si>
  <si>
    <t xml:space="preserve">Pump start hold off </t>
  </si>
  <si>
    <t xml:space="preserve">Hot water peak timer </t>
  </si>
  <si>
    <t xml:space="preserve">0x0024</t>
  </si>
  <si>
    <t xml:space="preserve">0x1B34</t>
  </si>
  <si>
    <t xml:space="preserve">?set temperature in summer mode? </t>
  </si>
  <si>
    <t xml:space="preserve">0x0046</t>
  </si>
  <si>
    <t xml:space="preserve">0x1B78</t>
  </si>
  <si>
    <t xml:space="preserve">?counter of compressor starts? </t>
  </si>
  <si>
    <t xml:space="preserve">0x0048</t>
  </si>
  <si>
    <t xml:space="preserve">0x1B7C</t>
  </si>
  <si>
    <t xml:space="preserve">?number of hours for radiator heating? </t>
  </si>
  <si>
    <t xml:space="preserve">0x0049</t>
  </si>
  <si>
    <t xml:space="preserve">0x1B7E</t>
  </si>
  <si>
    <t xml:space="preserve">?look like connected to compressor run, probably time in minutes/6, set to zero when hour is increased in 0049/004A
</t>
  </si>
  <si>
    <t xml:space="preserve">0x004A</t>
  </si>
  <si>
    <t xml:space="preserve">0x1B80</t>
  </si>
  <si>
    <t xml:space="preserve">?number of hours for boiler heating? </t>
  </si>
  <si>
    <t xml:space="preserve">default värde</t>
  </si>
  <si>
    <t xml:space="preserve">max värde</t>
  </si>
  <si>
    <t xml:space="preserve">0x28</t>
  </si>
  <si>
    <t xml:space="preserve">0x1B58</t>
  </si>
  <si>
    <t xml:space="preserve">DisplayTimeout, måste sättas till 0x708(default) innan man gör service meny access request</t>
  </si>
  <si>
    <t xml:space="preserve">0x708</t>
  </si>
  <si>
    <t xml:space="preserve">0xFFFF</t>
  </si>
  <si>
    <t xml:space="preserve">0x38</t>
  </si>
  <si>
    <t xml:space="preserve">2 bytes</t>
  </si>
  <si>
    <t xml:space="preserve">Meny relaterat?- första byte är troligtvis flaggor, andra data typ?</t>
  </si>
  <si>
    <t xml:space="preserve">0xC201</t>
  </si>
  <si>
    <t xml:space="preserve">0x39</t>
  </si>
  <si>
    <t xml:space="preserve">0x1B7A</t>
  </si>
  <si>
    <t xml:space="preserve">16 bitars värde eller bara 2bytes</t>
  </si>
  <si>
    <t xml:space="preserve">väljer på något sätt vilken meny som ska visas på LCD</t>
  </si>
  <si>
    <t xml:space="preserve">0x1EFC</t>
  </si>
  <si>
    <t xml:space="preserve">ram adress =  0x0A6E</t>
  </si>
  <si>
    <t xml:space="preserve">Basindex 0x7bxx ersätt xx med koder nedan</t>
  </si>
  <si>
    <t xml:space="preserve">40 unpacked nibbles</t>
  </si>
  <si>
    <t xml:space="preserve">LCD row 1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</si>
  <si>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</si>
  <si>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</si>
  <si>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</si>
  <si>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</si>
  <si>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</si>
  <si>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</si>
  <si>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</si>
  <si>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</si>
  <si>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</si>
  <si>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CA</t>
  </si>
  <si>
    <t xml:space="preserve">0x0A83</t>
  </si>
  <si>
    <t xml:space="preserve">LCD row 2</t>
  </si>
  <si>
    <t xml:space="preserve">CB</t>
  </si>
  <si>
    <t xml:space="preserve">CC</t>
  </si>
  <si>
    <t xml:space="preserve">CD</t>
  </si>
  <si>
    <t xml:space="preserve">CE</t>
  </si>
  <si>
    <t xml:space="preserve">CF</t>
  </si>
  <si>
    <t xml:space="preserve">D0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</si>
  <si>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</si>
  <si>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</si>
  <si>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</si>
  <si>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</si>
  <si>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</si>
  <si>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0x0A98</t>
  </si>
  <si>
    <t xml:space="preserve">LCD row 3</t>
  </si>
  <si>
    <t xml:space="preserve">D6</t>
  </si>
  <si>
    <t xml:space="preserve">D7</t>
  </si>
  <si>
    <t xml:space="preserve">D8</t>
  </si>
  <si>
    <t xml:space="preserve">D9</t>
  </si>
  <si>
    <t xml:space="preserve">DA</t>
  </si>
  <si>
    <t xml:space="preserve">DB</t>
  </si>
  <si>
    <t xml:space="preserve">DC</t>
  </si>
  <si>
    <t xml:space="preserve">DD</t>
  </si>
  <si>
    <t xml:space="preserve">DE</t>
  </si>
  <si>
    <t xml:space="preserve">DF</t>
  </si>
  <si>
    <t xml:space="preserve">0x0003</t>
  </si>
  <si>
    <t xml:space="preserve">0x0AAD</t>
  </si>
  <si>
    <t xml:space="preserve">LCD row 4</t>
  </si>
  <si>
    <t xml:space="preserve">E0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</si>
  <si>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</si>
  <si>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</si>
  <si>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</si>
  <si>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</si>
  <si>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</si>
  <si>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</si>
  <si>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</si>
  <si>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</si>
  <si>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</si>
  <si>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EA</t>
  </si>
  <si>
    <t xml:space="preserve">0x446</t>
  </si>
  <si>
    <t xml:space="preserve">0x447</t>
  </si>
  <si>
    <t xml:space="preserve">0x448</t>
  </si>
  <si>
    <t xml:space="preserve">lagrar föregående access level (går inte att ändra utan skrivs över ifrån current)</t>
  </si>
  <si>
    <t xml:space="preserve">0x7B95</t>
  </si>
  <si>
    <t xml:space="preserve">0x436</t>
  </si>
  <si>
    <t xml:space="preserve">1b58</t>
  </si>
  <si>
    <t xml:space="preserve">0x3C</t>
  </si>
  <si>
    <t xml:space="preserve">0x1FB</t>
  </si>
  <si>
    <t xml:space="preserve">0x7B98</t>
  </si>
  <si>
    <t xml:space="preserve">0xA1C</t>
  </si>
  <si>
    <t xml:space="preserve">0x</t>
  </si>
  <si>
    <t xml:space="preserve">0x7B5E</t>
  </si>
  <si>
    <t xml:space="preserve">0x9A8</t>
  </si>
  <si>
    <t xml:space="preserve">RTC tid second</t>
  </si>
  <si>
    <t xml:space="preserve">0x7B5F</t>
  </si>
  <si>
    <t xml:space="preserve">0x9AA</t>
  </si>
  <si>
    <t xml:space="preserve">RTC tid minute</t>
  </si>
  <si>
    <t xml:space="preserve">0x7B60</t>
  </si>
  <si>
    <t xml:space="preserve">0x9AC</t>
  </si>
  <si>
    <t xml:space="preserve">RTC tid hour</t>
  </si>
  <si>
    <t xml:space="preserve">0x7B61</t>
  </si>
  <si>
    <t xml:space="preserve">0x9AE</t>
  </si>
  <si>
    <t xml:space="preserve">RTC tid day</t>
  </si>
  <si>
    <t xml:space="preserve">0x7B62</t>
  </si>
  <si>
    <t xml:space="preserve">0x9B0</t>
  </si>
  <si>
    <t xml:space="preserve">RTC tid month</t>
  </si>
  <si>
    <t xml:space="preserve">0x7B63</t>
  </si>
  <si>
    <t xml:space="preserve">0x9B2</t>
  </si>
  <si>
    <t xml:space="preserve">RTC tid day of week</t>
  </si>
  <si>
    <t xml:space="preserve">0x7B64</t>
  </si>
  <si>
    <t xml:space="preserve">0x9B4</t>
  </si>
  <si>
    <t xml:space="preserve">RtC tid year</t>
  </si>
  <si>
    <t xml:space="preserve">value of register index @sysreg offset 0x447 (real adress 0x1b7A)</t>
  </si>
  <si>
    <t xml:space="preserve">RootScreen</t>
  </si>
  <si>
    <t xml:space="preserve">1EFC</t>
  </si>
  <si>
    <t xml:space="preserve">Huvudmeny</t>
  </si>
  <si>
    <t xml:space="preserve">1F1C</t>
  </si>
  <si>
    <t xml:space="preserve">1F3C</t>
  </si>
  <si>
    <t xml:space="preserve">1F5C</t>
  </si>
  <si>
    <t xml:space="preserve">1F5C(i ändra läge)</t>
  </si>
  <si>
    <t xml:space="preserve">1F7C</t>
  </si>
  <si>
    <t xml:space="preserve">1F9C</t>
  </si>
  <si>
    <t xml:space="preserve">237C</t>
  </si>
  <si>
    <t xml:space="preserve">259C</t>
  </si>
  <si>
    <t xml:space="preserve">26FC</t>
  </si>
  <si>
    <t xml:space="preserve">287C</t>
  </si>
  <si>
    <t xml:space="preserve">2CFC</t>
  </si>
  <si>
    <t xml:space="preserve">2E9C</t>
  </si>
  <si>
    <t xml:space="preserve">303C</t>
  </si>
  <si>
    <t xml:space="preserve">333C</t>
  </si>
  <si>
    <t xml:space="preserve">365C</t>
  </si>
  <si>
    <t xml:space="preserve">36BC</t>
  </si>
  <si>
    <t xml:space="preserve">36FC</t>
  </si>
  <si>
    <t xml:space="preserve">371C</t>
  </si>
  <si>
    <t xml:space="preserve">version</t>
  </si>
  <si>
    <t xml:space="preserve">0xF79C</t>
  </si>
  <si>
    <t xml:space="preserve">0xF7C6</t>
  </si>
  <si>
    <t xml:space="preserve">0xF7E2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</si>
</sst>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\ [$kr-41D];[RED]\-#,##0.00\ [$kr-41D]"/>
    <numFmt numFmtId="166" formatCode="@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</font>
    <font>
      <sz val="10"/>
      <name val="Times New Roman"/>
      <family val="1"/>
    </font>
    <font>
      <sz val="1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9" activeCellId="0" sqref="B29"/>
    </sheetView>
  </sheetViews>
  <sheetFormatPr defaultColWidth="11.53515625" defaultRowHeight="12.85" customHeight="true" zeroHeight="false" outlineLevelRow="0" outlineLevelCol="0"/>
  <cols>
    <col collapsed="false" customWidth="true" hidden="false" outlineLevel="0" max="1" min="1" style="0" width="6.81"/>
    <col collapsed="false" customWidth="true" hidden="false" outlineLevel="0" max="2" min="2" style="0" width="47.48"/>
    <col collapsed="false" customWidth="true" hidden="false" outlineLevel="0" max="3" min="3" style="0" width="1.39"/>
    <col collapsed="false" customWidth="false" hidden="false" outlineLevel="0" max="4" min="4" style="1" width="11.58"/>
    <col collapsed="false" customWidth="true" hidden="false" outlineLevel="0" max="5" min="5" style="1" width="1.39"/>
    <col collapsed="false" customWidth="true" hidden="false" outlineLevel="0" max="6" min="6" style="2" width="9.92"/>
    <col collapsed="false" customWidth="true" hidden="false" outlineLevel="0" max="7" min="7" style="2" width="6.8"/>
    <col collapsed="false" customWidth="true" hidden="false" outlineLevel="0" max="8" min="8" style="2" width="1.39"/>
    <col collapsed="false" customWidth="false" hidden="false" outlineLevel="0" max="9" min="9" style="2" width="11.58"/>
    <col collapsed="false" customWidth="true" hidden="false" outlineLevel="0" max="10" min="10" style="2" width="7.65"/>
    <col collapsed="false" customWidth="true" hidden="false" outlineLevel="0" max="11" min="11" style="2" width="1.39"/>
    <col collapsed="false" customWidth="true" hidden="false" outlineLevel="0" max="12" min="12" style="2" width="16.43"/>
    <col collapsed="false" customWidth="true" hidden="false" outlineLevel="0" max="13" min="13" style="2" width="17.43"/>
    <col collapsed="false" customWidth="true" hidden="false" outlineLevel="0" max="14" min="14" style="2" width="1.39"/>
    <col collapsed="false" customWidth="true" hidden="false" outlineLevel="0" max="15" min="15" style="2" width="14.47"/>
    <col collapsed="false" customWidth="true" hidden="false" outlineLevel="0" max="16" min="16" style="2" width="16.27"/>
    <col collapsed="false" customWidth="true" hidden="false" outlineLevel="0" max="17" min="17" style="2" width="25.46"/>
    <col collapsed="false" customWidth="true" hidden="false" outlineLevel="0" max="18" min="18" style="2" width="1.39"/>
    <col collapsed="false" customWidth="true" hidden="false" outlineLevel="0" max="19" min="19" style="3" width="50.36"/>
  </cols>
  <sheetData>
    <row r="1" customFormat="false" ht="12.85" hidden="false" customHeight="fals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customFormat="false" ht="12.85" hidden="false" customHeight="fals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customFormat="false" ht="12.8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5"/>
      <c r="R3" s="5"/>
    </row>
    <row r="4" customFormat="false" ht="12.85" hidden="false" customHeight="fals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  <c r="Q4" s="5"/>
      <c r="R4" s="5"/>
    </row>
    <row r="5" customFormat="false" ht="12.85" hidden="false" customHeight="false" outlineLevel="0" collapsed="false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5"/>
      <c r="R5" s="5"/>
    </row>
    <row r="6" customFormat="false" ht="12.85" hidden="false" customHeight="fals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customFormat="false" ht="12.85" hidden="false" customHeight="false" outlineLevel="0" collapsed="false">
      <c r="E7" s="6"/>
    </row>
    <row r="8" customFormat="false" ht="12.85" hidden="false" customHeight="false" outlineLevel="0" collapsed="false">
      <c r="B8" s="7" t="s">
        <v>6</v>
      </c>
      <c r="E8" s="6"/>
      <c r="F8" s="8" t="s">
        <v>7</v>
      </c>
      <c r="G8" s="8"/>
      <c r="H8" s="8"/>
      <c r="I8" s="8"/>
      <c r="J8" s="8"/>
      <c r="K8" s="7"/>
      <c r="L8" s="9" t="s">
        <v>8</v>
      </c>
      <c r="M8" s="9"/>
      <c r="O8" s="9" t="s">
        <v>9</v>
      </c>
      <c r="P8" s="9"/>
      <c r="Q8" s="9"/>
    </row>
    <row r="9" customFormat="false" ht="7.45" hidden="false" customHeight="true" outlineLevel="0" collapsed="false">
      <c r="B9" s="10"/>
      <c r="C9" s="10"/>
      <c r="D9" s="11"/>
      <c r="E9" s="11"/>
      <c r="F9" s="12"/>
      <c r="G9" s="12"/>
      <c r="H9" s="12"/>
      <c r="I9" s="13"/>
      <c r="J9" s="13"/>
      <c r="K9" s="13"/>
      <c r="L9" s="14"/>
      <c r="M9" s="14"/>
      <c r="N9" s="14"/>
      <c r="O9" s="14"/>
      <c r="P9" s="14"/>
      <c r="Q9" s="14"/>
      <c r="R9" s="14"/>
      <c r="S9" s="15"/>
    </row>
    <row r="10" customFormat="false" ht="12.85" hidden="false" customHeight="false" outlineLevel="0" collapsed="false">
      <c r="B10" s="3"/>
      <c r="C10" s="10"/>
      <c r="D10" s="1" t="s">
        <v>10</v>
      </c>
      <c r="E10" s="11"/>
      <c r="F10" s="7" t="s">
        <v>11</v>
      </c>
      <c r="G10" s="7"/>
      <c r="H10" s="14"/>
      <c r="I10" s="7" t="s">
        <v>12</v>
      </c>
      <c r="J10" s="7"/>
      <c r="K10" s="14"/>
      <c r="L10" s="2" t="s">
        <v>13</v>
      </c>
      <c r="M10" s="2" t="s">
        <v>14</v>
      </c>
      <c r="N10" s="14"/>
      <c r="O10" s="2" t="s">
        <v>15</v>
      </c>
      <c r="P10" s="2" t="s">
        <v>16</v>
      </c>
      <c r="Q10" s="2" t="s">
        <v>17</v>
      </c>
      <c r="R10" s="14"/>
      <c r="S10" s="0"/>
    </row>
    <row r="11" customFormat="false" ht="7.45" hidden="false" customHeight="true" outlineLevel="0" collapsed="false">
      <c r="B11" s="15"/>
      <c r="C11" s="16"/>
      <c r="E11" s="11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0"/>
    </row>
    <row r="12" customFormat="false" ht="12.85" hidden="false" customHeight="false" outlineLevel="0" collapsed="false">
      <c r="B12" s="3"/>
      <c r="C12" s="16"/>
      <c r="E12" s="11"/>
      <c r="F12" s="2" t="s">
        <v>18</v>
      </c>
      <c r="G12" s="2" t="s">
        <v>19</v>
      </c>
      <c r="H12" s="14"/>
      <c r="I12" s="2" t="s">
        <v>18</v>
      </c>
      <c r="J12" s="2" t="s">
        <v>19</v>
      </c>
      <c r="K12" s="14"/>
      <c r="N12" s="14"/>
      <c r="R12" s="14"/>
      <c r="S12" s="0"/>
    </row>
    <row r="13" customFormat="false" ht="7.45" hidden="false" customHeight="true" outlineLevel="0" collapsed="false">
      <c r="B13" s="3"/>
      <c r="C13" s="16"/>
      <c r="E13" s="11"/>
      <c r="F13" s="14"/>
      <c r="G13" s="14"/>
      <c r="H13" s="14"/>
      <c r="I13" s="14"/>
      <c r="J13" s="14"/>
      <c r="K13" s="14"/>
      <c r="N13" s="14"/>
      <c r="R13" s="14"/>
      <c r="S13" s="0"/>
    </row>
    <row r="14" customFormat="false" ht="12.85" hidden="false" customHeight="false" outlineLevel="0" collapsed="false">
      <c r="B14" s="3"/>
      <c r="C14" s="16"/>
      <c r="E14" s="11"/>
      <c r="H14" s="14"/>
      <c r="K14" s="14"/>
      <c r="N14" s="14"/>
      <c r="R14" s="14"/>
      <c r="S14" s="0"/>
    </row>
    <row r="15" customFormat="false" ht="12.85" hidden="false" customHeight="false" outlineLevel="0" collapsed="false">
      <c r="B15" s="2" t="s">
        <v>20</v>
      </c>
      <c r="C15" s="16"/>
      <c r="D15" s="1" t="s">
        <v>21</v>
      </c>
      <c r="E15" s="11"/>
      <c r="F15" s="2" t="s">
        <v>22</v>
      </c>
      <c r="G15" s="2" t="s">
        <v>23</v>
      </c>
      <c r="H15" s="14"/>
      <c r="I15" s="2" t="s">
        <v>24</v>
      </c>
      <c r="J15" s="2" t="s">
        <v>25</v>
      </c>
      <c r="K15" s="14"/>
      <c r="L15" s="2" t="n">
        <v>5</v>
      </c>
      <c r="M15" s="2" t="s">
        <v>26</v>
      </c>
      <c r="N15" s="14"/>
      <c r="O15" s="2" t="s">
        <v>27</v>
      </c>
      <c r="P15" s="2" t="str">
        <f aca="false">"index*2 + " &amp; O15</f>
        <v>index*2 + 0x09A6</v>
      </c>
      <c r="Q15" s="2" t="s">
        <v>28</v>
      </c>
      <c r="R15" s="14"/>
      <c r="S15" s="0"/>
    </row>
    <row r="16" customFormat="false" ht="12.85" hidden="false" customHeight="false" outlineLevel="0" collapsed="false">
      <c r="B16" s="2" t="s">
        <v>29</v>
      </c>
      <c r="C16" s="16"/>
      <c r="D16" s="1" t="s">
        <v>30</v>
      </c>
      <c r="E16" s="11"/>
      <c r="F16" s="2" t="s">
        <v>22</v>
      </c>
      <c r="G16" s="2" t="s">
        <v>23</v>
      </c>
      <c r="H16" s="14"/>
      <c r="I16" s="2" t="s">
        <v>31</v>
      </c>
      <c r="J16" s="2" t="s">
        <v>26</v>
      </c>
      <c r="K16" s="14"/>
      <c r="L16" s="2" t="n">
        <v>1</v>
      </c>
      <c r="M16" s="2" t="s">
        <v>25</v>
      </c>
      <c r="N16" s="14"/>
      <c r="O16" s="2" t="str">
        <f aca="false">O15</f>
        <v>0x09A6</v>
      </c>
      <c r="P16" s="2" t="str">
        <f aca="false">"index*2 + " &amp; O16</f>
        <v>index*2 + 0x09A6</v>
      </c>
      <c r="Q16" s="2" t="s">
        <v>28</v>
      </c>
      <c r="R16" s="14"/>
      <c r="S16" s="0"/>
    </row>
    <row r="17" customFormat="false" ht="12.85" hidden="false" customHeight="false" outlineLevel="0" collapsed="false">
      <c r="B17" s="2"/>
      <c r="C17" s="16"/>
      <c r="E17" s="11"/>
      <c r="H17" s="14"/>
      <c r="K17" s="14"/>
      <c r="N17" s="14"/>
      <c r="R17" s="14"/>
      <c r="S17" s="0"/>
    </row>
    <row r="18" customFormat="false" ht="12.85" hidden="false" customHeight="false" outlineLevel="0" collapsed="false">
      <c r="B18" s="2" t="s">
        <v>32</v>
      </c>
      <c r="C18" s="16"/>
      <c r="D18" s="1" t="s">
        <v>33</v>
      </c>
      <c r="E18" s="11"/>
      <c r="F18" s="2" t="s">
        <v>22</v>
      </c>
      <c r="G18" s="2" t="s">
        <v>26</v>
      </c>
      <c r="H18" s="14"/>
      <c r="I18" s="2" t="s">
        <v>24</v>
      </c>
      <c r="J18" s="2" t="s">
        <v>25</v>
      </c>
      <c r="K18" s="14"/>
      <c r="L18" s="2" t="n">
        <v>5</v>
      </c>
      <c r="M18" s="2" t="s">
        <v>26</v>
      </c>
      <c r="N18" s="14"/>
      <c r="O18" s="2" t="s">
        <v>34</v>
      </c>
      <c r="P18" s="2" t="str">
        <f aca="false">"index*2 + " &amp; O18</f>
        <v>index*2 + 0x12EC</v>
      </c>
      <c r="Q18" s="2" t="s">
        <v>35</v>
      </c>
      <c r="R18" s="14"/>
      <c r="S18" s="0"/>
    </row>
    <row r="19" customFormat="false" ht="12.85" hidden="false" customHeight="false" outlineLevel="0" collapsed="false">
      <c r="B19" s="2" t="s">
        <v>36</v>
      </c>
      <c r="C19" s="16"/>
      <c r="D19" s="1" t="s">
        <v>37</v>
      </c>
      <c r="E19" s="11"/>
      <c r="F19" s="2" t="s">
        <v>22</v>
      </c>
      <c r="G19" s="2" t="s">
        <v>26</v>
      </c>
      <c r="H19" s="14"/>
      <c r="I19" s="2" t="s">
        <v>31</v>
      </c>
      <c r="J19" s="2" t="s">
        <v>26</v>
      </c>
      <c r="K19" s="14"/>
      <c r="L19" s="2" t="n">
        <v>1</v>
      </c>
      <c r="M19" s="2" t="s">
        <v>25</v>
      </c>
      <c r="N19" s="14"/>
      <c r="O19" s="2" t="str">
        <f aca="false">O18</f>
        <v>0x12EC</v>
      </c>
      <c r="P19" s="2" t="str">
        <f aca="false">"index*2 + " &amp; O19</f>
        <v>index*2 + 0x12EC</v>
      </c>
      <c r="Q19" s="2" t="s">
        <v>35</v>
      </c>
      <c r="R19" s="14"/>
      <c r="S19" s="0"/>
    </row>
    <row r="20" customFormat="false" ht="12.85" hidden="false" customHeight="false" outlineLevel="0" collapsed="false">
      <c r="B20" s="2"/>
      <c r="C20" s="16"/>
      <c r="E20" s="11"/>
      <c r="H20" s="14"/>
      <c r="K20" s="14"/>
      <c r="N20" s="14"/>
      <c r="R20" s="14"/>
      <c r="S20" s="0"/>
    </row>
    <row r="21" customFormat="false" ht="12.85" hidden="false" customHeight="false" outlineLevel="0" collapsed="false">
      <c r="B21" s="2" t="s">
        <v>38</v>
      </c>
      <c r="C21" s="16"/>
      <c r="D21" s="1" t="s">
        <v>39</v>
      </c>
      <c r="E21" s="11"/>
      <c r="F21" s="2" t="s">
        <v>22</v>
      </c>
      <c r="G21" s="2" t="s">
        <v>23</v>
      </c>
      <c r="H21" s="14"/>
      <c r="I21" s="2" t="s">
        <v>24</v>
      </c>
      <c r="J21" s="2" t="s">
        <v>25</v>
      </c>
      <c r="K21" s="14"/>
      <c r="L21" s="2" t="n">
        <v>5</v>
      </c>
      <c r="M21" s="2" t="s">
        <v>26</v>
      </c>
      <c r="N21" s="14"/>
      <c r="O21" s="2" t="s">
        <v>40</v>
      </c>
      <c r="P21" s="2" t="str">
        <f aca="false">"index*2 + " &amp; O21</f>
        <v>index*2 + 0x1AEC</v>
      </c>
      <c r="Q21" s="2" t="s">
        <v>41</v>
      </c>
      <c r="R21" s="14"/>
      <c r="S21" s="0"/>
    </row>
    <row r="22" customFormat="false" ht="12.85" hidden="false" customHeight="false" outlineLevel="0" collapsed="false">
      <c r="B22" s="2" t="s">
        <v>42</v>
      </c>
      <c r="C22" s="16"/>
      <c r="D22" s="1" t="s">
        <v>43</v>
      </c>
      <c r="E22" s="11"/>
      <c r="F22" s="2" t="s">
        <v>22</v>
      </c>
      <c r="G22" s="2" t="s">
        <v>23</v>
      </c>
      <c r="H22" s="14"/>
      <c r="I22" s="2" t="s">
        <v>31</v>
      </c>
      <c r="J22" s="2" t="s">
        <v>26</v>
      </c>
      <c r="K22" s="14"/>
      <c r="L22" s="2" t="n">
        <v>1</v>
      </c>
      <c r="M22" s="2" t="s">
        <v>25</v>
      </c>
      <c r="N22" s="14"/>
      <c r="O22" s="2" t="str">
        <f aca="false">O21</f>
        <v>0x1AEC</v>
      </c>
      <c r="P22" s="2" t="str">
        <f aca="false">"index*2 + " &amp; O22</f>
        <v>index*2 + 0x1AEC</v>
      </c>
      <c r="Q22" s="2" t="s">
        <v>41</v>
      </c>
      <c r="R22" s="14"/>
      <c r="S22" s="0"/>
    </row>
    <row r="23" customFormat="false" ht="12.85" hidden="false" customHeight="false" outlineLevel="0" collapsed="false">
      <c r="B23" s="2"/>
      <c r="C23" s="16"/>
      <c r="E23" s="11"/>
      <c r="H23" s="14"/>
      <c r="K23" s="14"/>
      <c r="N23" s="14"/>
      <c r="R23" s="14"/>
      <c r="S23" s="0"/>
    </row>
    <row r="24" customFormat="false" ht="12.85" hidden="false" customHeight="false" outlineLevel="0" collapsed="false">
      <c r="B24" s="2" t="s">
        <v>44</v>
      </c>
      <c r="C24" s="16"/>
      <c r="D24" s="1" t="s">
        <v>45</v>
      </c>
      <c r="E24" s="11"/>
      <c r="F24" s="2" t="s">
        <v>22</v>
      </c>
      <c r="G24" s="2" t="s">
        <v>23</v>
      </c>
      <c r="H24" s="14"/>
      <c r="I24" s="2" t="s">
        <v>24</v>
      </c>
      <c r="J24" s="2" t="s">
        <v>25</v>
      </c>
      <c r="K24" s="14"/>
      <c r="L24" s="2" t="n">
        <v>5</v>
      </c>
      <c r="M24" s="2" t="s">
        <v>26</v>
      </c>
      <c r="N24" s="14"/>
      <c r="O24" s="2" t="s">
        <v>46</v>
      </c>
      <c r="P24" s="2" t="str">
        <f aca="false">"index*2 + " &amp; O24</f>
        <v>index*2 + 0x1B08</v>
      </c>
      <c r="Q24" s="2" t="s">
        <v>47</v>
      </c>
      <c r="R24" s="14"/>
      <c r="S24" s="0"/>
    </row>
    <row r="25" customFormat="false" ht="12.85" hidden="false" customHeight="false" outlineLevel="0" collapsed="false">
      <c r="B25" s="2" t="s">
        <v>48</v>
      </c>
      <c r="C25" s="16"/>
      <c r="D25" s="1" t="s">
        <v>49</v>
      </c>
      <c r="E25" s="11"/>
      <c r="F25" s="2" t="s">
        <v>22</v>
      </c>
      <c r="G25" s="2" t="s">
        <v>23</v>
      </c>
      <c r="H25" s="14"/>
      <c r="I25" s="2" t="s">
        <v>31</v>
      </c>
      <c r="J25" s="2" t="s">
        <v>26</v>
      </c>
      <c r="K25" s="14"/>
      <c r="L25" s="2" t="n">
        <v>1</v>
      </c>
      <c r="M25" s="2" t="s">
        <v>25</v>
      </c>
      <c r="N25" s="14"/>
      <c r="O25" s="2" t="str">
        <f aca="false">O24</f>
        <v>0x1B08</v>
      </c>
      <c r="P25" s="2" t="str">
        <f aca="false">"index*2 + " &amp; O25</f>
        <v>index*2 + 0x1B08</v>
      </c>
      <c r="Q25" s="2" t="s">
        <v>47</v>
      </c>
      <c r="R25" s="14"/>
      <c r="S25" s="0"/>
    </row>
    <row r="26" customFormat="false" ht="12.85" hidden="false" customHeight="false" outlineLevel="0" collapsed="false">
      <c r="B26" s="2"/>
      <c r="C26" s="16"/>
      <c r="E26" s="11"/>
      <c r="H26" s="14"/>
      <c r="K26" s="14"/>
      <c r="N26" s="14"/>
      <c r="R26" s="14"/>
      <c r="S26" s="0"/>
    </row>
    <row r="27" customFormat="false" ht="12.85" hidden="false" customHeight="false" outlineLevel="0" collapsed="false">
      <c r="B27" s="2" t="s">
        <v>50</v>
      </c>
      <c r="C27" s="16"/>
      <c r="D27" s="1" t="s">
        <v>51</v>
      </c>
      <c r="E27" s="11"/>
      <c r="F27" s="2" t="s">
        <v>52</v>
      </c>
      <c r="G27" s="2" t="s">
        <v>23</v>
      </c>
      <c r="H27" s="14"/>
      <c r="I27" s="2" t="s">
        <v>24</v>
      </c>
      <c r="J27" s="2" t="s">
        <v>25</v>
      </c>
      <c r="K27" s="14"/>
      <c r="L27" s="2" t="n">
        <v>42</v>
      </c>
      <c r="M27" s="2" t="s">
        <v>53</v>
      </c>
      <c r="N27" s="14"/>
      <c r="O27" s="2" t="s">
        <v>54</v>
      </c>
      <c r="P27" s="2" t="str">
        <f aca="false">"index*21 + " &amp; O27</f>
        <v>index*21 + 0x0A6E</v>
      </c>
      <c r="Q27" s="2" t="s">
        <v>55</v>
      </c>
      <c r="R27" s="14"/>
      <c r="S27" s="0"/>
    </row>
    <row r="28" customFormat="false" ht="12.85" hidden="false" customHeight="false" outlineLevel="0" collapsed="false">
      <c r="B28" s="2"/>
      <c r="C28" s="16"/>
      <c r="E28" s="11"/>
      <c r="H28" s="14"/>
      <c r="K28" s="14"/>
      <c r="N28" s="14"/>
      <c r="R28" s="14"/>
      <c r="S28" s="0"/>
    </row>
    <row r="29" customFormat="false" ht="12.85" hidden="false" customHeight="false" outlineLevel="0" collapsed="false">
      <c r="B29" s="2" t="s">
        <v>56</v>
      </c>
      <c r="C29" s="16"/>
      <c r="D29" s="1" t="s">
        <v>57</v>
      </c>
      <c r="E29" s="11"/>
      <c r="F29" s="2" t="s">
        <v>24</v>
      </c>
      <c r="G29" s="2" t="s">
        <v>25</v>
      </c>
      <c r="H29" s="14"/>
      <c r="I29" s="2" t="s">
        <v>24</v>
      </c>
      <c r="J29" s="2" t="s">
        <v>25</v>
      </c>
      <c r="K29" s="14"/>
      <c r="L29" s="2" t="n">
        <v>42</v>
      </c>
      <c r="M29" s="2" t="s">
        <v>53</v>
      </c>
      <c r="N29" s="14"/>
      <c r="O29" s="2" t="s">
        <v>25</v>
      </c>
      <c r="P29" s="2" t="s">
        <v>25</v>
      </c>
      <c r="R29" s="14"/>
      <c r="S29" s="0"/>
    </row>
    <row r="30" customFormat="false" ht="12.85" hidden="false" customHeight="false" outlineLevel="0" collapsed="false">
      <c r="B30" s="2" t="s">
        <v>58</v>
      </c>
      <c r="C30" s="16"/>
      <c r="D30" s="1" t="s">
        <v>59</v>
      </c>
      <c r="E30" s="11"/>
      <c r="F30" s="2" t="s">
        <v>24</v>
      </c>
      <c r="G30" s="2" t="s">
        <v>25</v>
      </c>
      <c r="H30" s="14"/>
      <c r="I30" s="2" t="s">
        <v>24</v>
      </c>
      <c r="J30" s="2" t="s">
        <v>25</v>
      </c>
      <c r="K30" s="14"/>
      <c r="L30" s="2" t="n">
        <v>42</v>
      </c>
      <c r="M30" s="2" t="s">
        <v>53</v>
      </c>
      <c r="N30" s="14"/>
      <c r="O30" s="2" t="s">
        <v>25</v>
      </c>
      <c r="P30" s="2" t="s">
        <v>25</v>
      </c>
      <c r="R30" s="14"/>
      <c r="S30" s="0"/>
    </row>
    <row r="31" customFormat="false" ht="12.85" hidden="false" customHeight="false" outlineLevel="0" collapsed="false">
      <c r="B31" s="2"/>
      <c r="C31" s="16"/>
      <c r="E31" s="11"/>
      <c r="H31" s="14"/>
      <c r="K31" s="14"/>
      <c r="N31" s="14"/>
      <c r="R31" s="14"/>
      <c r="S31" s="0"/>
    </row>
    <row r="32" customFormat="false" ht="12.85" hidden="false" customHeight="false" outlineLevel="0" collapsed="false">
      <c r="B32" s="2" t="s">
        <v>60</v>
      </c>
      <c r="C32" s="16"/>
      <c r="D32" s="1" t="s">
        <v>61</v>
      </c>
      <c r="E32" s="11"/>
      <c r="F32" s="2" t="s">
        <v>24</v>
      </c>
      <c r="G32" s="2" t="s">
        <v>25</v>
      </c>
      <c r="H32" s="14"/>
      <c r="I32" s="2" t="s">
        <v>24</v>
      </c>
      <c r="J32" s="2" t="s">
        <v>25</v>
      </c>
      <c r="K32" s="14"/>
      <c r="L32" s="2" t="n">
        <v>5</v>
      </c>
      <c r="M32" s="2" t="s">
        <v>26</v>
      </c>
      <c r="N32" s="14"/>
      <c r="R32" s="14"/>
      <c r="S32" s="0"/>
    </row>
    <row r="33" customFormat="false" ht="12.85" hidden="false" customHeight="false" outlineLevel="0" collapsed="false">
      <c r="B33" s="3"/>
      <c r="C33" s="16"/>
      <c r="E33" s="11"/>
      <c r="H33" s="14"/>
      <c r="K33" s="14"/>
      <c r="N33" s="14"/>
      <c r="R33" s="14"/>
    </row>
    <row r="34" customFormat="false" ht="12.85" hidden="false" customHeight="false" outlineLevel="0" collapsed="false">
      <c r="H34" s="17"/>
    </row>
    <row r="35" customFormat="false" ht="12.85" hidden="false" customHeight="false" outlineLevel="0" collapsed="false">
      <c r="A35" s="5" t="s">
        <v>62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customFormat="false" ht="12.85" hidden="false" customHeight="false" outlineLevel="0" collapsed="false">
      <c r="A36" s="5" t="s">
        <v>63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customFormat="false" ht="12.85" hidden="false" customHeight="false" outlineLevel="0" collapsed="false">
      <c r="A37" s="5" t="s">
        <v>64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41" customFormat="false" ht="12.85" hidden="false" customHeight="false" outlineLevel="0" collapsed="false">
      <c r="T41" s="0" t="s">
        <v>65</v>
      </c>
    </row>
  </sheetData>
  <mergeCells count="14">
    <mergeCell ref="A1:U1"/>
    <mergeCell ref="A2:U2"/>
    <mergeCell ref="A3:O3"/>
    <mergeCell ref="A4:O4"/>
    <mergeCell ref="A5:O5"/>
    <mergeCell ref="A6:U6"/>
    <mergeCell ref="F8:J8"/>
    <mergeCell ref="L8:M8"/>
    <mergeCell ref="O8:Q8"/>
    <mergeCell ref="F10:G10"/>
    <mergeCell ref="I10:J10"/>
    <mergeCell ref="A35:O35"/>
    <mergeCell ref="A36:O36"/>
    <mergeCell ref="A37:O3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2" min="2" style="7" width="14.74"/>
    <col collapsed="false" customWidth="true" hidden="false" outlineLevel="0" max="3" min="3" style="7" width="1.39"/>
    <col collapsed="false" customWidth="true" hidden="false" outlineLevel="0" max="4" min="4" style="7" width="14.05"/>
    <col collapsed="false" customWidth="true" hidden="false" outlineLevel="0" max="5" min="5" style="7" width="1.39"/>
    <col collapsed="false" customWidth="true" hidden="false" outlineLevel="0" max="6" min="6" style="7" width="25.32"/>
    <col collapsed="false" customWidth="true" hidden="false" outlineLevel="0" max="7" min="7" style="7" width="1.39"/>
    <col collapsed="false" customWidth="true" hidden="false" outlineLevel="0" max="8" min="8" style="3" width="44.38"/>
  </cols>
  <sheetData>
    <row r="1" customFormat="false" ht="12.75" hidden="false" customHeight="false" outlineLevel="0" collapsed="false">
      <c r="A1" s="18" t="str">
        <f aca="false">"register offset = " &amp; CommandList!O15</f>
        <v>register offset = 0x09A6</v>
      </c>
      <c r="B1" s="18"/>
      <c r="C1" s="17"/>
      <c r="E1" s="17"/>
      <c r="G1" s="17"/>
    </row>
    <row r="2" customFormat="false" ht="12.75" hidden="false" customHeight="false" outlineLevel="0" collapsed="false">
      <c r="C2" s="17"/>
      <c r="E2" s="17"/>
      <c r="G2" s="17"/>
    </row>
    <row r="3" customFormat="false" ht="12.75" hidden="false" customHeight="false" outlineLevel="0" collapsed="false">
      <c r="A3" s="0" t="s">
        <v>66</v>
      </c>
      <c r="B3" s="7" t="s">
        <v>67</v>
      </c>
      <c r="C3" s="14"/>
      <c r="D3" s="7" t="s">
        <v>68</v>
      </c>
      <c r="E3" s="14"/>
      <c r="F3" s="7" t="s">
        <v>69</v>
      </c>
      <c r="G3" s="14"/>
      <c r="H3" s="3" t="s">
        <v>6</v>
      </c>
      <c r="I3" s="0" t="s">
        <v>70</v>
      </c>
    </row>
    <row r="4" customFormat="false" ht="7.45" hidden="false" customHeight="true" outlineLevel="0" collapsed="false">
      <c r="A4" s="19"/>
      <c r="B4" s="14"/>
      <c r="C4" s="14"/>
      <c r="D4" s="14"/>
      <c r="E4" s="14"/>
      <c r="F4" s="14"/>
      <c r="G4" s="14"/>
      <c r="H4" s="16"/>
    </row>
    <row r="5" customFormat="false" ht="12.75" hidden="false" customHeight="false" outlineLevel="0" collapsed="false">
      <c r="C5" s="14"/>
      <c r="E5" s="14"/>
      <c r="G5" s="14"/>
      <c r="H5" s="3" t="s">
        <v>71</v>
      </c>
    </row>
    <row r="6" customFormat="false" ht="12.75" hidden="false" customHeight="false" outlineLevel="0" collapsed="false">
      <c r="B6" s="7" t="s">
        <v>72</v>
      </c>
      <c r="C6" s="14"/>
      <c r="D6" s="7" t="s">
        <v>73</v>
      </c>
      <c r="E6" s="14"/>
      <c r="F6" s="7" t="s">
        <v>74</v>
      </c>
      <c r="G6" s="14"/>
      <c r="H6" s="3" t="s">
        <v>75</v>
      </c>
      <c r="I6" s="0" t="s">
        <v>76</v>
      </c>
    </row>
    <row r="7" customFormat="false" ht="12.75" hidden="false" customHeight="false" outlineLevel="0" collapsed="false">
      <c r="B7" s="7" t="s">
        <v>77</v>
      </c>
      <c r="C7" s="14"/>
      <c r="D7" s="7" t="s">
        <v>78</v>
      </c>
      <c r="E7" s="14"/>
      <c r="F7" s="7" t="s">
        <v>74</v>
      </c>
      <c r="G7" s="14"/>
      <c r="H7" s="3" t="s">
        <v>79</v>
      </c>
      <c r="I7" s="0" t="s">
        <v>80</v>
      </c>
    </row>
    <row r="8" customFormat="false" ht="12.75" hidden="false" customHeight="false" outlineLevel="0" collapsed="false">
      <c r="B8" s="7" t="s">
        <v>81</v>
      </c>
      <c r="C8" s="14"/>
      <c r="D8" s="7" t="s">
        <v>82</v>
      </c>
      <c r="E8" s="14"/>
      <c r="F8" s="7" t="s">
        <v>74</v>
      </c>
      <c r="G8" s="14"/>
      <c r="H8" s="3" t="s">
        <v>83</v>
      </c>
      <c r="I8" s="0" t="s">
        <v>84</v>
      </c>
    </row>
    <row r="9" customFormat="false" ht="12.75" hidden="false" customHeight="false" outlineLevel="0" collapsed="false">
      <c r="B9" s="7" t="s">
        <v>85</v>
      </c>
      <c r="C9" s="14"/>
      <c r="D9" s="7" t="s">
        <v>86</v>
      </c>
      <c r="E9" s="14"/>
      <c r="F9" s="7" t="s">
        <v>74</v>
      </c>
      <c r="G9" s="14"/>
      <c r="H9" s="3" t="s">
        <v>87</v>
      </c>
      <c r="I9" s="0" t="s">
        <v>88</v>
      </c>
    </row>
    <row r="10" customFormat="false" ht="12.75" hidden="false" customHeight="false" outlineLevel="0" collapsed="false">
      <c r="C10" s="14"/>
      <c r="E10" s="14"/>
      <c r="G10" s="14"/>
    </row>
    <row r="11" customFormat="false" ht="12.75" hidden="false" customHeight="false" outlineLevel="0" collapsed="false">
      <c r="C11" s="14"/>
      <c r="E11" s="14"/>
      <c r="G11" s="14"/>
      <c r="H11" s="3" t="s">
        <v>89</v>
      </c>
    </row>
    <row r="12" customFormat="false" ht="12.75" hidden="false" customHeight="false" outlineLevel="0" collapsed="false">
      <c r="B12" s="7" t="s">
        <v>90</v>
      </c>
      <c r="C12" s="14"/>
      <c r="D12" s="7" t="s">
        <v>91</v>
      </c>
      <c r="E12" s="14"/>
      <c r="F12" s="7" t="s">
        <v>92</v>
      </c>
      <c r="G12" s="14"/>
      <c r="H12" s="3" t="s">
        <v>93</v>
      </c>
      <c r="I12" s="0" t="s">
        <v>94</v>
      </c>
    </row>
    <row r="13" customFormat="false" ht="12.75" hidden="false" customHeight="false" outlineLevel="0" collapsed="false">
      <c r="B13" s="7" t="s">
        <v>95</v>
      </c>
      <c r="C13" s="14"/>
      <c r="D13" s="7" t="s">
        <v>96</v>
      </c>
      <c r="E13" s="14"/>
      <c r="F13" s="7" t="s">
        <v>92</v>
      </c>
      <c r="G13" s="14"/>
      <c r="H13" s="3" t="s">
        <v>97</v>
      </c>
      <c r="I13" s="0" t="s">
        <v>98</v>
      </c>
    </row>
    <row r="14" customFormat="false" ht="12.75" hidden="false" customHeight="false" outlineLevel="0" collapsed="false">
      <c r="B14" s="7" t="s">
        <v>99</v>
      </c>
      <c r="C14" s="14"/>
      <c r="D14" s="7" t="s">
        <v>100</v>
      </c>
      <c r="E14" s="14"/>
      <c r="F14" s="7" t="s">
        <v>92</v>
      </c>
      <c r="G14" s="14"/>
      <c r="H14" s="3" t="s">
        <v>101</v>
      </c>
      <c r="I14" s="0" t="s">
        <v>102</v>
      </c>
    </row>
    <row r="15" customFormat="false" ht="12.75" hidden="false" customHeight="false" outlineLevel="0" collapsed="false">
      <c r="B15" s="7" t="s">
        <v>103</v>
      </c>
      <c r="C15" s="14"/>
      <c r="D15" s="7" t="s">
        <v>104</v>
      </c>
      <c r="E15" s="14"/>
      <c r="F15" s="7" t="s">
        <v>92</v>
      </c>
      <c r="G15" s="14"/>
      <c r="H15" s="3" t="s">
        <v>105</v>
      </c>
      <c r="I15" s="0" t="s">
        <v>106</v>
      </c>
    </row>
    <row r="16" customFormat="false" ht="12.75" hidden="false" customHeight="false" outlineLevel="0" collapsed="false">
      <c r="B16" s="7" t="s">
        <v>107</v>
      </c>
      <c r="C16" s="14"/>
      <c r="D16" s="7" t="s">
        <v>108</v>
      </c>
      <c r="E16" s="14"/>
      <c r="F16" s="7" t="s">
        <v>92</v>
      </c>
      <c r="G16" s="14"/>
      <c r="H16" s="3" t="s">
        <v>109</v>
      </c>
      <c r="I16" s="0" t="s">
        <v>110</v>
      </c>
    </row>
    <row r="17" customFormat="false" ht="12.75" hidden="false" customHeight="false" outlineLevel="0" collapsed="false">
      <c r="C17" s="14"/>
      <c r="E17" s="14"/>
      <c r="G17" s="14"/>
    </row>
    <row r="18" customFormat="false" ht="12.75" hidden="false" customHeight="false" outlineLevel="0" collapsed="false">
      <c r="B18" s="7" t="s">
        <v>111</v>
      </c>
      <c r="C18" s="14"/>
      <c r="D18" s="7" t="s">
        <v>112</v>
      </c>
      <c r="E18" s="14"/>
      <c r="F18" s="7" t="s">
        <v>113</v>
      </c>
      <c r="G18" s="14"/>
      <c r="H18" s="3" t="s">
        <v>114</v>
      </c>
    </row>
    <row r="19" customFormat="false" ht="12.75" hidden="false" customHeight="false" outlineLevel="0" collapsed="false">
      <c r="C19" s="14"/>
      <c r="E19" s="14"/>
      <c r="G19" s="14"/>
    </row>
    <row r="20" customFormat="false" ht="12.75" hidden="false" customHeight="false" outlineLevel="0" collapsed="false">
      <c r="B20" s="7" t="s">
        <v>115</v>
      </c>
      <c r="C20" s="14"/>
      <c r="D20" s="7" t="s">
        <v>116</v>
      </c>
      <c r="E20" s="14"/>
      <c r="F20" s="7" t="s">
        <v>113</v>
      </c>
      <c r="G20" s="14"/>
      <c r="H20" s="3" t="s">
        <v>117</v>
      </c>
    </row>
    <row r="21" customFormat="false" ht="12.75" hidden="false" customHeight="false" outlineLevel="0" collapsed="false">
      <c r="C21" s="14"/>
      <c r="E21" s="14"/>
      <c r="G21" s="14"/>
    </row>
    <row r="22" customFormat="false" ht="12.75" hidden="false" customHeight="false" outlineLevel="0" collapsed="false">
      <c r="B22" s="7" t="s">
        <v>118</v>
      </c>
      <c r="C22" s="14"/>
      <c r="D22" s="7" t="s">
        <v>119</v>
      </c>
      <c r="E22" s="14"/>
      <c r="F22" s="7" t="s">
        <v>120</v>
      </c>
      <c r="G22" s="14"/>
      <c r="H22" s="3" t="s">
        <v>121</v>
      </c>
      <c r="I22" s="0" t="s">
        <v>122</v>
      </c>
    </row>
    <row r="23" customFormat="false" ht="12.75" hidden="false" customHeight="false" outlineLevel="0" collapsed="false">
      <c r="C23" s="14"/>
      <c r="E23" s="14"/>
      <c r="G23" s="14"/>
    </row>
    <row r="24" customFormat="false" ht="12.75" hidden="false" customHeight="false" outlineLevel="0" collapsed="false">
      <c r="B24" s="0"/>
      <c r="C24" s="0"/>
      <c r="D24" s="0"/>
      <c r="E24" s="0"/>
      <c r="F24" s="0"/>
      <c r="G24" s="0"/>
      <c r="H24" s="0"/>
    </row>
    <row r="26" customFormat="false" ht="12.75" hidden="false" customHeight="false" outlineLevel="0" collapsed="false">
      <c r="B26" s="17"/>
      <c r="C26" s="17"/>
      <c r="D26" s="17"/>
      <c r="E26" s="17"/>
      <c r="F26" s="17"/>
      <c r="G26" s="17"/>
      <c r="H26" s="15"/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3" activeCellId="0" sqref="J33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7" width="17.24"/>
    <col collapsed="false" customWidth="true" hidden="false" outlineLevel="0" max="2" min="2" style="7" width="14.74"/>
    <col collapsed="false" customWidth="true" hidden="false" outlineLevel="0" max="3" min="3" style="7" width="1.39"/>
    <col collapsed="false" customWidth="true" hidden="false" outlineLevel="0" max="4" min="4" style="7" width="14.05"/>
    <col collapsed="false" customWidth="true" hidden="false" outlineLevel="0" max="5" min="5" style="7" width="1.39"/>
    <col collapsed="false" customWidth="true" hidden="false" outlineLevel="0" max="6" min="6" style="7" width="25.32"/>
    <col collapsed="false" customWidth="true" hidden="false" outlineLevel="0" max="7" min="7" style="7" width="1.39"/>
    <col collapsed="false" customWidth="true" hidden="false" outlineLevel="0" max="8" min="8" style="7" width="53.56"/>
  </cols>
  <sheetData>
    <row r="1" customFormat="false" ht="12.75" hidden="false" customHeight="false" outlineLevel="0" collapsed="false">
      <c r="A1" s="18" t="str">
        <f aca="false">"register offset = " &amp; CommandList!O18</f>
        <v>register offset = 0x12EC</v>
      </c>
      <c r="B1" s="18"/>
      <c r="C1" s="17"/>
      <c r="D1" s="7" t="s">
        <v>123</v>
      </c>
      <c r="E1" s="17"/>
      <c r="F1" s="7" t="s">
        <v>124</v>
      </c>
      <c r="G1" s="17"/>
    </row>
    <row r="2" customFormat="false" ht="12.75" hidden="false" customHeight="false" outlineLevel="0" collapsed="false">
      <c r="C2" s="17"/>
      <c r="E2" s="17"/>
      <c r="G2" s="17"/>
    </row>
    <row r="3" customFormat="false" ht="12.75" hidden="false" customHeight="false" outlineLevel="0" collapsed="false">
      <c r="A3" s="7" t="s">
        <v>125</v>
      </c>
      <c r="B3" s="7" t="s">
        <v>67</v>
      </c>
      <c r="C3" s="14"/>
      <c r="D3" s="7" t="s">
        <v>68</v>
      </c>
      <c r="E3" s="14"/>
      <c r="F3" s="7" t="s">
        <v>69</v>
      </c>
      <c r="G3" s="14"/>
      <c r="H3" s="7" t="s">
        <v>6</v>
      </c>
    </row>
    <row r="4" customFormat="false" ht="7.45" hidden="false" customHeight="true" outlineLevel="0" collapsed="false">
      <c r="A4" s="17"/>
      <c r="B4" s="14"/>
      <c r="C4" s="14"/>
      <c r="D4" s="14"/>
      <c r="E4" s="14"/>
      <c r="F4" s="14"/>
      <c r="G4" s="14"/>
      <c r="H4" s="14"/>
    </row>
    <row r="5" customFormat="false" ht="12.75" hidden="false" customHeight="false" outlineLevel="0" collapsed="false">
      <c r="A5" s="7" t="s">
        <v>126</v>
      </c>
      <c r="B5" s="7" t="s">
        <v>24</v>
      </c>
      <c r="C5" s="14"/>
      <c r="D5" s="7" t="s">
        <v>34</v>
      </c>
      <c r="E5" s="14"/>
      <c r="G5" s="14"/>
      <c r="H5" s="7" t="s">
        <v>127</v>
      </c>
    </row>
    <row r="6" customFormat="false" ht="12.75" hidden="false" customHeight="false" outlineLevel="0" collapsed="false">
      <c r="A6" s="7" t="s">
        <v>126</v>
      </c>
      <c r="B6" s="7" t="s">
        <v>128</v>
      </c>
      <c r="C6" s="14"/>
      <c r="D6" s="7" t="s">
        <v>129</v>
      </c>
      <c r="E6" s="14"/>
      <c r="G6" s="14"/>
      <c r="H6" s="7" t="s">
        <v>130</v>
      </c>
    </row>
    <row r="7" customFormat="false" ht="12.75" hidden="false" customHeight="false" outlineLevel="0" collapsed="false">
      <c r="A7" s="7" t="s">
        <v>126</v>
      </c>
      <c r="B7" s="7" t="s">
        <v>131</v>
      </c>
      <c r="C7" s="14"/>
      <c r="D7" s="7" t="s">
        <v>132</v>
      </c>
      <c r="E7" s="14"/>
      <c r="G7" s="14"/>
      <c r="H7" s="7" t="s">
        <v>133</v>
      </c>
    </row>
    <row r="8" customFormat="false" ht="12.75" hidden="false" customHeight="false" outlineLevel="0" collapsed="false">
      <c r="C8" s="14"/>
      <c r="E8" s="14"/>
      <c r="G8" s="14"/>
    </row>
    <row r="9" customFormat="false" ht="12.75" hidden="false" customHeight="false" outlineLevel="0" collapsed="false">
      <c r="B9" s="7" t="s">
        <v>72</v>
      </c>
      <c r="C9" s="14"/>
      <c r="D9" s="7" t="s">
        <v>134</v>
      </c>
      <c r="E9" s="14"/>
      <c r="G9" s="14"/>
      <c r="H9" s="7" t="s">
        <v>135</v>
      </c>
    </row>
    <row r="10" customFormat="false" ht="12.75" hidden="false" customHeight="false" outlineLevel="0" collapsed="false">
      <c r="B10" s="7" t="s">
        <v>81</v>
      </c>
      <c r="C10" s="14"/>
      <c r="D10" s="7" t="s">
        <v>136</v>
      </c>
      <c r="E10" s="14"/>
      <c r="G10" s="14"/>
      <c r="H10" s="20" t="s">
        <v>137</v>
      </c>
    </row>
    <row r="11" customFormat="false" ht="12.75" hidden="false" customHeight="false" outlineLevel="0" collapsed="false">
      <c r="B11" s="7" t="s">
        <v>138</v>
      </c>
      <c r="C11" s="14"/>
      <c r="D11" s="7" t="s">
        <v>139</v>
      </c>
      <c r="E11" s="14"/>
      <c r="G11" s="14"/>
      <c r="H11" s="20" t="s">
        <v>140</v>
      </c>
    </row>
    <row r="12" customFormat="false" ht="12.75" hidden="false" customHeight="false" outlineLevel="0" collapsed="false">
      <c r="B12" s="7" t="s">
        <v>141</v>
      </c>
      <c r="C12" s="14"/>
      <c r="D12" s="7" t="s">
        <v>142</v>
      </c>
      <c r="E12" s="14"/>
      <c r="G12" s="14"/>
      <c r="H12" s="20" t="s">
        <v>143</v>
      </c>
    </row>
    <row r="13" customFormat="false" ht="12.75" hidden="false" customHeight="false" outlineLevel="0" collapsed="false">
      <c r="B13" s="7" t="s">
        <v>144</v>
      </c>
      <c r="C13" s="14"/>
      <c r="D13" s="7" t="s">
        <v>145</v>
      </c>
      <c r="E13" s="14"/>
      <c r="G13" s="14"/>
      <c r="H13" s="20" t="s">
        <v>146</v>
      </c>
    </row>
    <row r="14" customFormat="false" ht="12.75" hidden="false" customHeight="false" outlineLevel="0" collapsed="false">
      <c r="B14" s="7" t="s">
        <v>90</v>
      </c>
      <c r="C14" s="14"/>
      <c r="D14" s="7" t="s">
        <v>147</v>
      </c>
      <c r="E14" s="14"/>
      <c r="G14" s="14"/>
      <c r="H14" s="20" t="s">
        <v>148</v>
      </c>
    </row>
    <row r="15" customFormat="false" ht="12.75" hidden="false" customHeight="false" outlineLevel="0" collapsed="false">
      <c r="B15" s="7" t="s">
        <v>99</v>
      </c>
      <c r="C15" s="14"/>
      <c r="D15" s="7" t="s">
        <v>149</v>
      </c>
      <c r="E15" s="14"/>
      <c r="G15" s="14"/>
      <c r="H15" s="20" t="s">
        <v>150</v>
      </c>
    </row>
    <row r="16" customFormat="false" ht="12.75" hidden="false" customHeight="false" outlineLevel="0" collapsed="false">
      <c r="B16" s="7" t="s">
        <v>107</v>
      </c>
      <c r="C16" s="14"/>
      <c r="D16" s="7" t="s">
        <v>151</v>
      </c>
      <c r="E16" s="14"/>
      <c r="G16" s="14"/>
      <c r="H16" s="20" t="s">
        <v>152</v>
      </c>
    </row>
    <row r="17" customFormat="false" ht="12.75" hidden="false" customHeight="false" outlineLevel="0" collapsed="false">
      <c r="B17" s="7" t="s">
        <v>153</v>
      </c>
      <c r="C17" s="14"/>
      <c r="D17" s="7" t="s">
        <v>154</v>
      </c>
      <c r="E17" s="14"/>
      <c r="G17" s="14"/>
      <c r="H17" s="20" t="s">
        <v>155</v>
      </c>
    </row>
    <row r="18" customFormat="false" ht="12.75" hidden="false" customHeight="false" outlineLevel="0" collapsed="false">
      <c r="B18" s="7" t="s">
        <v>156</v>
      </c>
      <c r="C18" s="14"/>
      <c r="D18" s="7" t="s">
        <v>157</v>
      </c>
      <c r="E18" s="14"/>
      <c r="G18" s="14"/>
      <c r="H18" s="20" t="s">
        <v>158</v>
      </c>
    </row>
    <row r="19" customFormat="false" ht="12.75" hidden="false" customHeight="false" outlineLevel="0" collapsed="false">
      <c r="B19" s="7" t="s">
        <v>159</v>
      </c>
      <c r="C19" s="14"/>
      <c r="D19" s="7" t="s">
        <v>160</v>
      </c>
      <c r="E19" s="14"/>
      <c r="G19" s="14"/>
      <c r="H19" s="20" t="s">
        <v>161</v>
      </c>
    </row>
    <row r="20" customFormat="false" ht="12.75" hidden="false" customHeight="false" outlineLevel="0" collapsed="false">
      <c r="B20" s="7" t="s">
        <v>162</v>
      </c>
      <c r="C20" s="14"/>
      <c r="D20" s="7" t="s">
        <v>163</v>
      </c>
      <c r="E20" s="14"/>
      <c r="G20" s="14"/>
      <c r="H20" s="20" t="s">
        <v>164</v>
      </c>
    </row>
    <row r="21" customFormat="false" ht="12.75" hidden="false" customHeight="false" outlineLevel="0" collapsed="false">
      <c r="B21" s="7" t="s">
        <v>165</v>
      </c>
      <c r="C21" s="14"/>
      <c r="D21" s="7" t="s">
        <v>166</v>
      </c>
      <c r="E21" s="14"/>
      <c r="G21" s="14"/>
      <c r="H21" s="20" t="s">
        <v>167</v>
      </c>
    </row>
    <row r="22" customFormat="false" ht="12.75" hidden="false" customHeight="false" outlineLevel="0" collapsed="false">
      <c r="B22" s="7" t="s">
        <v>168</v>
      </c>
      <c r="C22" s="14"/>
      <c r="D22" s="7" t="s">
        <v>169</v>
      </c>
      <c r="E22" s="14"/>
      <c r="G22" s="14"/>
      <c r="H22" s="20" t="s">
        <v>170</v>
      </c>
    </row>
    <row r="23" customFormat="false" ht="12.75" hidden="false" customHeight="false" outlineLevel="0" collapsed="false">
      <c r="C23" s="14"/>
      <c r="E23" s="14"/>
      <c r="G23" s="14"/>
    </row>
    <row r="24" customFormat="false" ht="12.75" hidden="false" customHeight="false" outlineLevel="0" collapsed="false">
      <c r="B24" s="7" t="s">
        <v>171</v>
      </c>
      <c r="C24" s="14"/>
      <c r="D24" s="7" t="s">
        <v>172</v>
      </c>
      <c r="E24" s="14"/>
      <c r="G24" s="14"/>
      <c r="H24" s="20" t="s">
        <v>173</v>
      </c>
    </row>
    <row r="25" customFormat="false" ht="12.75" hidden="false" customHeight="false" outlineLevel="0" collapsed="false">
      <c r="C25" s="14"/>
      <c r="E25" s="14"/>
      <c r="G25" s="14"/>
      <c r="H25" s="20"/>
    </row>
    <row r="26" customFormat="false" ht="12.75" hidden="false" customHeight="false" outlineLevel="0" collapsed="false">
      <c r="B26" s="7" t="s">
        <v>174</v>
      </c>
      <c r="C26" s="14"/>
      <c r="D26" s="7" t="s">
        <v>175</v>
      </c>
      <c r="E26" s="14"/>
      <c r="F26" s="7" t="s">
        <v>113</v>
      </c>
      <c r="G26" s="14"/>
      <c r="H26" s="3" t="s">
        <v>176</v>
      </c>
    </row>
    <row r="27" customFormat="false" ht="12.75" hidden="false" customHeight="false" outlineLevel="0" collapsed="false">
      <c r="B27" s="7" t="s">
        <v>177</v>
      </c>
      <c r="C27" s="14"/>
      <c r="D27" s="7" t="s">
        <v>178</v>
      </c>
      <c r="E27" s="14"/>
      <c r="G27" s="14"/>
      <c r="H27" s="20" t="s">
        <v>179</v>
      </c>
    </row>
    <row r="28" customFormat="false" ht="12.75" hidden="false" customHeight="false" outlineLevel="0" collapsed="false">
      <c r="B28" s="7" t="s">
        <v>180</v>
      </c>
      <c r="C28" s="14"/>
      <c r="E28" s="14"/>
      <c r="G28" s="14"/>
      <c r="H28" s="20"/>
    </row>
    <row r="29" customFormat="false" ht="23.85" hidden="false" customHeight="false" outlineLevel="0" collapsed="false">
      <c r="B29" s="7" t="s">
        <v>181</v>
      </c>
      <c r="C29" s="14"/>
      <c r="D29" s="7" t="s">
        <v>182</v>
      </c>
      <c r="E29" s="14"/>
      <c r="G29" s="14"/>
      <c r="H29" s="20" t="s">
        <v>183</v>
      </c>
    </row>
    <row r="30" customFormat="false" ht="12.75" hidden="false" customHeight="false" outlineLevel="0" collapsed="false">
      <c r="C30" s="14"/>
      <c r="E30" s="14"/>
      <c r="G30" s="14"/>
      <c r="H30" s="20"/>
    </row>
    <row r="31" customFormat="false" ht="12.75" hidden="false" customHeight="false" outlineLevel="0" collapsed="false">
      <c r="B31" s="7" t="s">
        <v>184</v>
      </c>
      <c r="C31" s="14"/>
      <c r="D31" s="7" t="s">
        <v>185</v>
      </c>
      <c r="E31" s="14"/>
      <c r="F31" s="7" t="s">
        <v>186</v>
      </c>
      <c r="G31" s="14"/>
      <c r="H31" s="20" t="s">
        <v>187</v>
      </c>
    </row>
    <row r="32" customFormat="false" ht="12.75" hidden="false" customHeight="false" outlineLevel="0" collapsed="false">
      <c r="C32" s="14"/>
      <c r="E32" s="14"/>
      <c r="G32" s="14"/>
      <c r="H32" s="20"/>
    </row>
    <row r="33" customFormat="false" ht="12.75" hidden="false" customHeight="false" outlineLevel="0" collapsed="false">
      <c r="B33" s="7" t="s">
        <v>188</v>
      </c>
      <c r="C33" s="14"/>
      <c r="D33" s="7" t="s">
        <v>189</v>
      </c>
      <c r="E33" s="14"/>
      <c r="G33" s="14"/>
      <c r="H33" s="20" t="s">
        <v>190</v>
      </c>
    </row>
    <row r="34" customFormat="false" ht="12.75" hidden="false" customHeight="false" outlineLevel="0" collapsed="false">
      <c r="B34" s="7" t="s">
        <v>191</v>
      </c>
      <c r="C34" s="14"/>
      <c r="D34" s="7" t="s">
        <v>192</v>
      </c>
      <c r="E34" s="14"/>
      <c r="G34" s="14"/>
      <c r="H34" s="20" t="s">
        <v>193</v>
      </c>
    </row>
    <row r="35" customFormat="false" ht="12.75" hidden="false" customHeight="false" outlineLevel="0" collapsed="false">
      <c r="B35" s="7" t="s">
        <v>194</v>
      </c>
      <c r="C35" s="14"/>
      <c r="D35" s="7" t="s">
        <v>195</v>
      </c>
      <c r="E35" s="14"/>
      <c r="G35" s="14"/>
      <c r="H35" s="20" t="s">
        <v>196</v>
      </c>
    </row>
    <row r="36" customFormat="false" ht="12.75" hidden="false" customHeight="false" outlineLevel="0" collapsed="false">
      <c r="C36" s="14"/>
      <c r="E36" s="14"/>
      <c r="G36" s="14"/>
      <c r="H36" s="20"/>
    </row>
    <row r="37" customFormat="false" ht="12.75" hidden="false" customHeight="false" outlineLevel="0" collapsed="false">
      <c r="A37" s="7" t="s">
        <v>126</v>
      </c>
      <c r="B37" s="7" t="s">
        <v>197</v>
      </c>
      <c r="C37" s="14"/>
      <c r="E37" s="14"/>
      <c r="G37" s="14"/>
      <c r="H37" s="21" t="s">
        <v>198</v>
      </c>
    </row>
    <row r="38" customFormat="false" ht="12.75" hidden="false" customHeight="false" outlineLevel="0" collapsed="false">
      <c r="A38" s="7" t="s">
        <v>126</v>
      </c>
      <c r="B38" s="7" t="s">
        <v>199</v>
      </c>
      <c r="C38" s="14"/>
      <c r="E38" s="14"/>
      <c r="G38" s="14"/>
      <c r="H38" s="21" t="s">
        <v>198</v>
      </c>
    </row>
    <row r="39" customFormat="false" ht="12.75" hidden="false" customHeight="false" outlineLevel="0" collapsed="false">
      <c r="A39" s="7" t="s">
        <v>126</v>
      </c>
      <c r="B39" s="7" t="s">
        <v>200</v>
      </c>
      <c r="C39" s="14"/>
      <c r="E39" s="14"/>
      <c r="G39" s="14"/>
      <c r="H39" s="21" t="s">
        <v>198</v>
      </c>
    </row>
    <row r="40" customFormat="false" ht="12.75" hidden="false" customHeight="false" outlineLevel="0" collapsed="false">
      <c r="A40" s="7" t="s">
        <v>126</v>
      </c>
      <c r="B40" s="7" t="s">
        <v>201</v>
      </c>
      <c r="C40" s="14"/>
      <c r="E40" s="14"/>
      <c r="G40" s="14"/>
      <c r="H40" s="21" t="s">
        <v>198</v>
      </c>
    </row>
    <row r="41" customFormat="false" ht="12.75" hidden="false" customHeight="false" outlineLevel="0" collapsed="false">
      <c r="A41" s="7" t="s">
        <v>126</v>
      </c>
      <c r="B41" s="7" t="s">
        <v>202</v>
      </c>
      <c r="C41" s="14"/>
      <c r="E41" s="14"/>
      <c r="G41" s="14"/>
      <c r="H41" s="21" t="s">
        <v>198</v>
      </c>
    </row>
    <row r="42" customFormat="false" ht="12.75" hidden="false" customHeight="false" outlineLevel="0" collapsed="false">
      <c r="C42" s="14"/>
      <c r="E42" s="14"/>
      <c r="G42" s="14"/>
      <c r="H42" s="20"/>
    </row>
    <row r="43" customFormat="false" ht="12.75" hidden="false" customHeight="false" outlineLevel="0" collapsed="false">
      <c r="B43" s="7" t="s">
        <v>203</v>
      </c>
      <c r="C43" s="14"/>
      <c r="D43" s="7" t="s">
        <v>204</v>
      </c>
      <c r="E43" s="14"/>
      <c r="G43" s="14"/>
      <c r="H43" s="20" t="s">
        <v>205</v>
      </c>
    </row>
    <row r="44" customFormat="false" ht="12.75" hidden="false" customHeight="false" outlineLevel="0" collapsed="false">
      <c r="B44" s="7" t="s">
        <v>206</v>
      </c>
      <c r="C44" s="14"/>
      <c r="D44" s="7" t="s">
        <v>207</v>
      </c>
      <c r="E44" s="14"/>
      <c r="G44" s="14"/>
      <c r="H44" s="20" t="s">
        <v>208</v>
      </c>
    </row>
    <row r="45" customFormat="false" ht="12.75" hidden="false" customHeight="false" outlineLevel="0" collapsed="false">
      <c r="B45" s="7" t="s">
        <v>209</v>
      </c>
      <c r="C45" s="14"/>
      <c r="D45" s="7" t="s">
        <v>210</v>
      </c>
      <c r="E45" s="14"/>
      <c r="G45" s="14"/>
      <c r="H45" s="20" t="s">
        <v>211</v>
      </c>
    </row>
    <row r="46" customFormat="false" ht="12.75" hidden="false" customHeight="false" outlineLevel="0" collapsed="false">
      <c r="B46" s="7" t="s">
        <v>212</v>
      </c>
      <c r="C46" s="14"/>
      <c r="D46" s="7" t="s">
        <v>213</v>
      </c>
      <c r="E46" s="14"/>
      <c r="G46" s="14"/>
      <c r="H46" s="20" t="s">
        <v>214</v>
      </c>
    </row>
    <row r="47" customFormat="false" ht="12.75" hidden="false" customHeight="false" outlineLevel="0" collapsed="false">
      <c r="B47" s="7" t="s">
        <v>215</v>
      </c>
      <c r="C47" s="14"/>
      <c r="D47" s="7" t="s">
        <v>216</v>
      </c>
      <c r="E47" s="14"/>
      <c r="G47" s="14"/>
      <c r="H47" s="20" t="s">
        <v>217</v>
      </c>
    </row>
    <row r="48" customFormat="false" ht="12.75" hidden="false" customHeight="false" outlineLevel="0" collapsed="false">
      <c r="B48" s="7" t="s">
        <v>218</v>
      </c>
      <c r="C48" s="14"/>
      <c r="D48" s="7" t="s">
        <v>219</v>
      </c>
      <c r="E48" s="14"/>
      <c r="G48" s="14"/>
      <c r="H48" s="20" t="s">
        <v>220</v>
      </c>
    </row>
    <row r="49" customFormat="false" ht="12.75" hidden="false" customHeight="false" outlineLevel="0" collapsed="false">
      <c r="B49" s="7" t="s">
        <v>221</v>
      </c>
      <c r="C49" s="14"/>
      <c r="D49" s="7" t="s">
        <v>222</v>
      </c>
      <c r="E49" s="14"/>
      <c r="G49" s="14"/>
      <c r="H49" s="20" t="s">
        <v>223</v>
      </c>
    </row>
    <row r="50" customFormat="false" ht="12.75" hidden="false" customHeight="false" outlineLevel="0" collapsed="false">
      <c r="B50" s="7" t="s">
        <v>224</v>
      </c>
      <c r="C50" s="14"/>
      <c r="D50" s="7" t="s">
        <v>225</v>
      </c>
      <c r="E50" s="14"/>
      <c r="G50" s="14"/>
      <c r="H50" s="20" t="s">
        <v>226</v>
      </c>
    </row>
    <row r="51" customFormat="false" ht="12.75" hidden="false" customHeight="false" outlineLevel="0" collapsed="false">
      <c r="C51" s="14"/>
      <c r="E51" s="14"/>
      <c r="G51" s="14"/>
    </row>
    <row r="52" customFormat="false" ht="12.75" hidden="false" customHeight="false" outlineLevel="0" collapsed="false">
      <c r="A52" s="7" t="s">
        <v>126</v>
      </c>
      <c r="B52" s="7" t="s">
        <v>227</v>
      </c>
      <c r="C52" s="14"/>
      <c r="E52" s="14"/>
      <c r="G52" s="14"/>
      <c r="H52" s="7" t="s">
        <v>228</v>
      </c>
    </row>
    <row r="53" customFormat="false" ht="12.75" hidden="false" customHeight="false" outlineLevel="0" collapsed="false">
      <c r="C53" s="14"/>
      <c r="E53" s="14"/>
      <c r="G53" s="14"/>
    </row>
    <row r="54" customFormat="false" ht="12.75" hidden="false" customHeight="false" outlineLevel="0" collapsed="false">
      <c r="B54" s="7" t="s">
        <v>229</v>
      </c>
      <c r="C54" s="14"/>
      <c r="D54" s="7" t="s">
        <v>230</v>
      </c>
      <c r="E54" s="14"/>
      <c r="F54" s="7" t="s">
        <v>92</v>
      </c>
      <c r="G54" s="14"/>
      <c r="H54" s="7" t="s">
        <v>231</v>
      </c>
    </row>
    <row r="55" customFormat="false" ht="12.75" hidden="false" customHeight="false" outlineLevel="0" collapsed="false">
      <c r="C55" s="14"/>
      <c r="E55" s="14"/>
      <c r="G55" s="14"/>
    </row>
    <row r="56" customFormat="false" ht="12.75" hidden="false" customHeight="false" outlineLevel="0" collapsed="false">
      <c r="B56" s="7" t="s">
        <v>232</v>
      </c>
      <c r="C56" s="14"/>
      <c r="D56" s="7" t="s">
        <v>233</v>
      </c>
      <c r="E56" s="14"/>
      <c r="F56" s="7" t="s">
        <v>92</v>
      </c>
      <c r="G56" s="14"/>
      <c r="H56" s="20" t="s">
        <v>234</v>
      </c>
    </row>
    <row r="57" customFormat="false" ht="12.75" hidden="false" customHeight="false" outlineLevel="0" collapsed="false">
      <c r="B57" s="7" t="s">
        <v>235</v>
      </c>
      <c r="C57" s="14"/>
      <c r="D57" s="7" t="s">
        <v>236</v>
      </c>
      <c r="E57" s="14"/>
      <c r="F57" s="7" t="s">
        <v>92</v>
      </c>
      <c r="G57" s="14"/>
      <c r="H57" s="20" t="s">
        <v>237</v>
      </c>
    </row>
    <row r="58" customFormat="false" ht="12.75" hidden="false" customHeight="false" outlineLevel="0" collapsed="false">
      <c r="B58" s="7" t="s">
        <v>238</v>
      </c>
      <c r="C58" s="14"/>
      <c r="D58" s="7" t="s">
        <v>239</v>
      </c>
      <c r="E58" s="14"/>
      <c r="F58" s="7" t="s">
        <v>92</v>
      </c>
      <c r="G58" s="14"/>
      <c r="H58" s="20" t="s">
        <v>240</v>
      </c>
    </row>
    <row r="59" customFormat="false" ht="12.75" hidden="false" customHeight="false" outlineLevel="0" collapsed="false">
      <c r="B59" s="7" t="s">
        <v>241</v>
      </c>
      <c r="C59" s="14"/>
      <c r="D59" s="7" t="s">
        <v>242</v>
      </c>
      <c r="E59" s="14"/>
      <c r="F59" s="7" t="s">
        <v>92</v>
      </c>
      <c r="G59" s="14"/>
      <c r="H59" s="20" t="s">
        <v>243</v>
      </c>
    </row>
    <row r="60" customFormat="false" ht="12.75" hidden="false" customHeight="false" outlineLevel="0" collapsed="false">
      <c r="B60" s="7" t="s">
        <v>244</v>
      </c>
      <c r="C60" s="14"/>
      <c r="D60" s="7" t="s">
        <v>245</v>
      </c>
      <c r="E60" s="14"/>
      <c r="F60" s="7" t="s">
        <v>92</v>
      </c>
      <c r="G60" s="14"/>
      <c r="H60" s="20" t="s">
        <v>246</v>
      </c>
    </row>
    <row r="61" customFormat="false" ht="12.75" hidden="false" customHeight="false" outlineLevel="0" collapsed="false">
      <c r="B61" s="7" t="s">
        <v>247</v>
      </c>
      <c r="C61" s="14"/>
      <c r="D61" s="7" t="s">
        <v>248</v>
      </c>
      <c r="E61" s="14"/>
      <c r="F61" s="7" t="s">
        <v>92</v>
      </c>
      <c r="G61" s="14"/>
      <c r="H61" s="7" t="s">
        <v>249</v>
      </c>
    </row>
    <row r="62" customFormat="false" ht="12.75" hidden="false" customHeight="false" outlineLevel="0" collapsed="false">
      <c r="B62" s="7" t="s">
        <v>250</v>
      </c>
      <c r="C62" s="14"/>
      <c r="D62" s="7" t="s">
        <v>251</v>
      </c>
      <c r="E62" s="14"/>
      <c r="F62" s="7" t="s">
        <v>92</v>
      </c>
      <c r="G62" s="14"/>
      <c r="H62" s="7" t="s">
        <v>252</v>
      </c>
    </row>
    <row r="63" customFormat="false" ht="12.75" hidden="false" customHeight="false" outlineLevel="0" collapsed="false">
      <c r="B63" s="7" t="s">
        <v>253</v>
      </c>
      <c r="C63" s="14"/>
      <c r="D63" s="7" t="s">
        <v>254</v>
      </c>
      <c r="E63" s="14"/>
      <c r="F63" s="7" t="s">
        <v>92</v>
      </c>
      <c r="G63" s="14"/>
      <c r="H63" s="7" t="s">
        <v>255</v>
      </c>
    </row>
    <row r="64" customFormat="false" ht="12.75" hidden="false" customHeight="false" outlineLevel="0" collapsed="false">
      <c r="C64" s="14"/>
      <c r="E64" s="14"/>
      <c r="G64" s="14"/>
      <c r="I64" s="0" t="s">
        <v>256</v>
      </c>
    </row>
    <row r="65" customFormat="false" ht="12.75" hidden="false" customHeight="false" outlineLevel="0" collapsed="false">
      <c r="B65" s="7" t="s">
        <v>257</v>
      </c>
      <c r="C65" s="14"/>
      <c r="D65" s="7" t="s">
        <v>258</v>
      </c>
      <c r="E65" s="14"/>
      <c r="G65" s="14"/>
      <c r="H65" s="20" t="s">
        <v>259</v>
      </c>
      <c r="I65" s="0" t="s">
        <v>260</v>
      </c>
    </row>
    <row r="66" customFormat="false" ht="12.75" hidden="false" customHeight="false" outlineLevel="0" collapsed="false">
      <c r="B66" s="7" t="s">
        <v>261</v>
      </c>
      <c r="C66" s="14"/>
      <c r="D66" s="7" t="s">
        <v>262</v>
      </c>
      <c r="E66" s="14"/>
      <c r="G66" s="14"/>
      <c r="H66" s="20" t="s">
        <v>263</v>
      </c>
      <c r="I66" s="0" t="s">
        <v>264</v>
      </c>
    </row>
    <row r="67" customFormat="false" ht="12.75" hidden="false" customHeight="false" outlineLevel="0" collapsed="false">
      <c r="B67" s="7" t="s">
        <v>265</v>
      </c>
      <c r="C67" s="14"/>
      <c r="D67" s="7" t="s">
        <v>266</v>
      </c>
      <c r="E67" s="14"/>
      <c r="G67" s="14"/>
      <c r="H67" s="20" t="s">
        <v>267</v>
      </c>
      <c r="I67" s="0" t="s">
        <v>268</v>
      </c>
    </row>
    <row r="68" customFormat="false" ht="12.75" hidden="false" customHeight="false" outlineLevel="0" collapsed="false">
      <c r="B68" s="7" t="s">
        <v>269</v>
      </c>
      <c r="C68" s="14"/>
      <c r="D68" s="7" t="s">
        <v>270</v>
      </c>
      <c r="E68" s="14"/>
      <c r="G68" s="14"/>
      <c r="H68" s="20" t="s">
        <v>271</v>
      </c>
      <c r="I68" s="0" t="s">
        <v>272</v>
      </c>
    </row>
    <row r="69" customFormat="false" ht="12.75" hidden="false" customHeight="false" outlineLevel="0" collapsed="false">
      <c r="B69" s="7" t="s">
        <v>273</v>
      </c>
      <c r="C69" s="14"/>
      <c r="D69" s="7" t="s">
        <v>274</v>
      </c>
      <c r="E69" s="14"/>
      <c r="G69" s="14"/>
      <c r="H69" s="20" t="s">
        <v>275</v>
      </c>
      <c r="I69" s="0" t="s">
        <v>276</v>
      </c>
    </row>
    <row r="70" customFormat="false" ht="12.75" hidden="false" customHeight="false" outlineLevel="0" collapsed="false">
      <c r="B70" s="7" t="s">
        <v>277</v>
      </c>
      <c r="C70" s="14"/>
      <c r="D70" s="7" t="s">
        <v>278</v>
      </c>
      <c r="E70" s="14"/>
      <c r="G70" s="14"/>
      <c r="H70" s="20" t="s">
        <v>279</v>
      </c>
      <c r="I70" s="0" t="s">
        <v>280</v>
      </c>
    </row>
    <row r="71" customFormat="false" ht="12.75" hidden="false" customHeight="false" outlineLevel="0" collapsed="false">
      <c r="B71" s="7" t="s">
        <v>281</v>
      </c>
      <c r="C71" s="14"/>
      <c r="D71" s="7" t="s">
        <v>282</v>
      </c>
      <c r="E71" s="14"/>
      <c r="G71" s="14"/>
      <c r="H71" s="20" t="s">
        <v>283</v>
      </c>
      <c r="I71" s="0" t="s">
        <v>284</v>
      </c>
    </row>
    <row r="72" customFormat="false" ht="12.75" hidden="false" customHeight="false" outlineLevel="0" collapsed="false">
      <c r="B72" s="7" t="s">
        <v>285</v>
      </c>
      <c r="C72" s="14"/>
      <c r="D72" s="7" t="s">
        <v>286</v>
      </c>
      <c r="E72" s="14"/>
      <c r="G72" s="14"/>
      <c r="H72" s="20" t="s">
        <v>287</v>
      </c>
      <c r="I72" s="0" t="s">
        <v>288</v>
      </c>
    </row>
    <row r="73" customFormat="false" ht="12.75" hidden="false" customHeight="false" outlineLevel="0" collapsed="false">
      <c r="B73" s="7" t="s">
        <v>289</v>
      </c>
      <c r="C73" s="14"/>
      <c r="D73" s="7" t="s">
        <v>290</v>
      </c>
      <c r="E73" s="14"/>
      <c r="G73" s="14"/>
      <c r="H73" s="20" t="s">
        <v>291</v>
      </c>
      <c r="I73" s="0" t="s">
        <v>292</v>
      </c>
    </row>
    <row r="74" customFormat="false" ht="12.75" hidden="false" customHeight="false" outlineLevel="0" collapsed="false">
      <c r="B74" s="7" t="s">
        <v>293</v>
      </c>
      <c r="C74" s="14"/>
      <c r="D74" s="7" t="s">
        <v>294</v>
      </c>
      <c r="E74" s="14"/>
      <c r="G74" s="14"/>
      <c r="H74" s="20" t="s">
        <v>295</v>
      </c>
      <c r="I74" s="0" t="s">
        <v>296</v>
      </c>
    </row>
    <row r="75" customFormat="false" ht="12.75" hidden="false" customHeight="false" outlineLevel="0" collapsed="false">
      <c r="B75" s="7" t="s">
        <v>297</v>
      </c>
      <c r="C75" s="14"/>
      <c r="D75" s="7" t="s">
        <v>298</v>
      </c>
      <c r="E75" s="14"/>
      <c r="G75" s="14"/>
      <c r="H75" s="20" t="s">
        <v>299</v>
      </c>
      <c r="I75" s="0" t="s">
        <v>300</v>
      </c>
    </row>
    <row r="76" customFormat="false" ht="12.75" hidden="false" customHeight="false" outlineLevel="0" collapsed="false">
      <c r="C76" s="14"/>
      <c r="E76" s="14"/>
      <c r="G76" s="14"/>
    </row>
    <row r="77" customFormat="false" ht="12.75" hidden="false" customHeight="false" outlineLevel="0" collapsed="false">
      <c r="C77" s="14"/>
      <c r="E77" s="14"/>
      <c r="G77" s="14"/>
      <c r="H77" s="7" t="s">
        <v>301</v>
      </c>
      <c r="I77" s="0" t="s">
        <v>302</v>
      </c>
    </row>
    <row r="78" customFormat="false" ht="12.75" hidden="false" customHeight="false" outlineLevel="0" collapsed="false">
      <c r="C78" s="14"/>
      <c r="E78" s="14"/>
      <c r="G78" s="14"/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2" min="2" style="7" width="14.74"/>
    <col collapsed="false" customWidth="true" hidden="false" outlineLevel="0" max="3" min="3" style="7" width="1.39"/>
    <col collapsed="false" customWidth="true" hidden="false" outlineLevel="0" max="4" min="4" style="7" width="14.05"/>
    <col collapsed="false" customWidth="true" hidden="false" outlineLevel="0" max="5" min="5" style="7" width="1.39"/>
    <col collapsed="false" customWidth="true" hidden="false" outlineLevel="0" max="6" min="6" style="7" width="20.03"/>
    <col collapsed="false" customWidth="true" hidden="false" outlineLevel="0" max="7" min="7" style="7" width="1.39"/>
    <col collapsed="false" customWidth="true" hidden="false" outlineLevel="0" max="8" min="8" style="3" width="44.38"/>
  </cols>
  <sheetData>
    <row r="1" customFormat="false" ht="12.75" hidden="false" customHeight="false" outlineLevel="0" collapsed="false">
      <c r="A1" s="18" t="str">
        <f aca="false">"register offset = " &amp; CommandList!O21</f>
        <v>register offset = 0x1AEC</v>
      </c>
      <c r="B1" s="18"/>
      <c r="C1" s="17"/>
      <c r="E1" s="17"/>
      <c r="G1" s="17"/>
    </row>
    <row r="2" customFormat="false" ht="12.75" hidden="false" customHeight="false" outlineLevel="0" collapsed="false">
      <c r="C2" s="17"/>
      <c r="E2" s="17"/>
      <c r="G2" s="17"/>
    </row>
    <row r="3" customFormat="false" ht="12.75" hidden="false" customHeight="false" outlineLevel="0" collapsed="false">
      <c r="B3" s="7" t="s">
        <v>67</v>
      </c>
      <c r="C3" s="14"/>
      <c r="D3" s="7" t="s">
        <v>68</v>
      </c>
      <c r="E3" s="14"/>
      <c r="F3" s="7" t="s">
        <v>69</v>
      </c>
      <c r="G3" s="14"/>
      <c r="H3" s="3" t="s">
        <v>6</v>
      </c>
    </row>
    <row r="4" customFormat="false" ht="7.45" hidden="false" customHeight="true" outlineLevel="0" collapsed="false">
      <c r="A4" s="19"/>
      <c r="B4" s="14"/>
      <c r="C4" s="14"/>
      <c r="D4" s="14"/>
      <c r="E4" s="14"/>
      <c r="F4" s="14"/>
      <c r="G4" s="14"/>
      <c r="H4" s="16"/>
    </row>
    <row r="5" customFormat="false" ht="12.8" hidden="false" customHeight="false" outlineLevel="0" collapsed="false">
      <c r="B5" s="7" t="s">
        <v>24</v>
      </c>
      <c r="C5" s="14"/>
      <c r="D5" s="7" t="s">
        <v>40</v>
      </c>
      <c r="E5" s="14"/>
      <c r="F5" s="0"/>
      <c r="G5" s="14"/>
      <c r="H5" s="22" t="s">
        <v>303</v>
      </c>
    </row>
    <row r="6" customFormat="false" ht="12.8" hidden="false" customHeight="false" outlineLevel="0" collapsed="false">
      <c r="B6" s="7" t="s">
        <v>131</v>
      </c>
      <c r="C6" s="14"/>
      <c r="D6" s="7" t="s">
        <v>304</v>
      </c>
      <c r="E6" s="14"/>
      <c r="F6" s="0"/>
      <c r="G6" s="14"/>
      <c r="H6" s="22" t="s">
        <v>305</v>
      </c>
    </row>
    <row r="7" customFormat="false" ht="12.8" hidden="false" customHeight="false" outlineLevel="0" collapsed="false">
      <c r="C7" s="14"/>
      <c r="E7" s="14"/>
      <c r="F7" s="0"/>
      <c r="G7" s="14"/>
      <c r="H7" s="7"/>
    </row>
    <row r="8" customFormat="false" ht="12.8" hidden="false" customHeight="false" outlineLevel="0" collapsed="false">
      <c r="B8" s="7" t="s">
        <v>141</v>
      </c>
      <c r="C8" s="14"/>
      <c r="D8" s="7" t="s">
        <v>46</v>
      </c>
      <c r="E8" s="14"/>
      <c r="F8" s="0"/>
      <c r="G8" s="14"/>
      <c r="H8" s="23" t="s">
        <v>306</v>
      </c>
    </row>
    <row r="9" customFormat="false" ht="12.8" hidden="false" customHeight="false" outlineLevel="0" collapsed="false">
      <c r="C9" s="14"/>
      <c r="E9" s="14"/>
      <c r="F9" s="0"/>
      <c r="G9" s="14"/>
      <c r="H9" s="7"/>
    </row>
    <row r="10" customFormat="false" ht="12.8" hidden="false" customHeight="false" outlineLevel="0" collapsed="false">
      <c r="B10" s="7" t="s">
        <v>307</v>
      </c>
      <c r="C10" s="14"/>
      <c r="D10" s="7" t="s">
        <v>308</v>
      </c>
      <c r="E10" s="14"/>
      <c r="F10" s="0"/>
      <c r="G10" s="14"/>
      <c r="H10" s="7" t="s">
        <v>309</v>
      </c>
    </row>
    <row r="11" customFormat="false" ht="12.8" hidden="false" customHeight="false" outlineLevel="0" collapsed="false">
      <c r="C11" s="14"/>
      <c r="E11" s="14"/>
      <c r="F11" s="0"/>
      <c r="G11" s="14"/>
      <c r="H11" s="7"/>
    </row>
    <row r="12" customFormat="false" ht="12.8" hidden="false" customHeight="false" outlineLevel="0" collapsed="false">
      <c r="B12" s="7" t="s">
        <v>310</v>
      </c>
      <c r="C12" s="14"/>
      <c r="D12" s="7" t="s">
        <v>311</v>
      </c>
      <c r="E12" s="14"/>
      <c r="F12" s="0"/>
      <c r="G12" s="14"/>
      <c r="H12" s="23" t="s">
        <v>312</v>
      </c>
    </row>
    <row r="13" customFormat="false" ht="12.8" hidden="false" customHeight="false" outlineLevel="0" collapsed="false">
      <c r="B13" s="7" t="s">
        <v>313</v>
      </c>
      <c r="C13" s="14"/>
      <c r="D13" s="7" t="s">
        <v>314</v>
      </c>
      <c r="E13" s="14"/>
      <c r="F13" s="0"/>
      <c r="G13" s="14"/>
      <c r="H13" s="23" t="s">
        <v>315</v>
      </c>
    </row>
    <row r="14" customFormat="false" ht="35.05" hidden="false" customHeight="false" outlineLevel="0" collapsed="false">
      <c r="B14" s="7" t="s">
        <v>316</v>
      </c>
      <c r="C14" s="14"/>
      <c r="D14" s="7" t="s">
        <v>317</v>
      </c>
      <c r="E14" s="14"/>
      <c r="F14" s="0"/>
      <c r="G14" s="14"/>
      <c r="H14" s="23" t="s">
        <v>318</v>
      </c>
    </row>
    <row r="15" customFormat="false" ht="12.8" hidden="false" customHeight="false" outlineLevel="0" collapsed="false">
      <c r="B15" s="7" t="s">
        <v>319</v>
      </c>
      <c r="C15" s="14"/>
      <c r="D15" s="7" t="s">
        <v>320</v>
      </c>
      <c r="E15" s="14"/>
      <c r="F15" s="0"/>
      <c r="G15" s="14"/>
      <c r="H15" s="23" t="s">
        <v>321</v>
      </c>
    </row>
    <row r="16" customFormat="false" ht="12.8" hidden="false" customHeight="false" outlineLevel="0" collapsed="false">
      <c r="C16" s="14"/>
      <c r="E16" s="14"/>
      <c r="F16" s="0"/>
      <c r="G16" s="14"/>
      <c r="H16" s="7"/>
    </row>
    <row r="17" customFormat="false" ht="12.8" hidden="false" customHeight="false" outlineLevel="0" collapsed="false">
      <c r="C17" s="14"/>
      <c r="E17" s="14"/>
      <c r="F17" s="0"/>
      <c r="G17" s="14"/>
      <c r="H17" s="7"/>
    </row>
    <row r="18" customFormat="false" ht="12.8" hidden="false" customHeight="false" outlineLevel="0" collapsed="false">
      <c r="C18" s="14"/>
      <c r="E18" s="14"/>
      <c r="F18" s="0"/>
      <c r="G18" s="14"/>
      <c r="H18" s="7"/>
    </row>
    <row r="19" customFormat="false" ht="12.75" hidden="false" customHeight="false" outlineLevel="0" collapsed="false">
      <c r="C19" s="14"/>
      <c r="E19" s="14"/>
      <c r="G19" s="14"/>
    </row>
    <row r="20" customFormat="false" ht="12.75" hidden="false" customHeight="false" outlineLevel="0" collapsed="false">
      <c r="C20" s="14"/>
      <c r="E20" s="14"/>
      <c r="G20" s="14"/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0" activeCellId="0" sqref="B30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2" min="2" style="7" width="14.74"/>
    <col collapsed="false" customWidth="true" hidden="false" outlineLevel="0" max="3" min="3" style="7" width="1.39"/>
    <col collapsed="false" customWidth="true" hidden="false" outlineLevel="0" max="4" min="4" style="7" width="14.05"/>
    <col collapsed="false" customWidth="true" hidden="false" outlineLevel="0" max="5" min="5" style="7" width="1.39"/>
    <col collapsed="false" customWidth="true" hidden="false" outlineLevel="0" max="6" min="6" style="7" width="27.45"/>
    <col collapsed="false" customWidth="true" hidden="false" outlineLevel="0" max="7" min="7" style="7" width="1.39"/>
    <col collapsed="false" customWidth="true" hidden="false" outlineLevel="0" max="8" min="8" style="3" width="76.42"/>
    <col collapsed="false" customWidth="true" hidden="false" outlineLevel="0" max="9" min="9" style="3" width="1.39"/>
  </cols>
  <sheetData>
    <row r="1" customFormat="false" ht="12.75" hidden="false" customHeight="false" outlineLevel="0" collapsed="false">
      <c r="A1" s="18" t="str">
        <f aca="false">"register offset = " &amp; CommandList!O24</f>
        <v>register offset = 0x1B08</v>
      </c>
      <c r="B1" s="18"/>
      <c r="C1" s="17"/>
      <c r="E1" s="17"/>
      <c r="G1" s="17"/>
    </row>
    <row r="2" customFormat="false" ht="12.75" hidden="false" customHeight="false" outlineLevel="0" collapsed="false">
      <c r="C2" s="17"/>
      <c r="E2" s="17"/>
      <c r="G2" s="17"/>
    </row>
    <row r="3" customFormat="false" ht="12.75" hidden="false" customHeight="false" outlineLevel="0" collapsed="false">
      <c r="B3" s="7" t="s">
        <v>67</v>
      </c>
      <c r="C3" s="14"/>
      <c r="D3" s="7" t="s">
        <v>68</v>
      </c>
      <c r="E3" s="14"/>
      <c r="F3" s="7" t="s">
        <v>69</v>
      </c>
      <c r="G3" s="14"/>
      <c r="H3" s="3" t="s">
        <v>6</v>
      </c>
      <c r="I3" s="16"/>
      <c r="J3" s="7" t="s">
        <v>322</v>
      </c>
      <c r="K3" s="7" t="s">
        <v>323</v>
      </c>
    </row>
    <row r="4" customFormat="false" ht="7.45" hidden="false" customHeight="true" outlineLevel="0" collapsed="false">
      <c r="A4" s="19"/>
      <c r="B4" s="14"/>
      <c r="C4" s="14"/>
      <c r="D4" s="14"/>
      <c r="E4" s="14"/>
      <c r="F4" s="14"/>
      <c r="G4" s="14"/>
      <c r="H4" s="16"/>
      <c r="I4" s="16"/>
      <c r="J4" s="10"/>
      <c r="K4" s="10"/>
    </row>
    <row r="5" customFormat="false" ht="12.75" hidden="false" customHeight="false" outlineLevel="0" collapsed="false">
      <c r="C5" s="14"/>
      <c r="E5" s="14"/>
      <c r="G5" s="14"/>
      <c r="I5" s="16"/>
    </row>
    <row r="6" customFormat="false" ht="12.75" hidden="false" customHeight="false" outlineLevel="0" collapsed="false">
      <c r="B6" s="7" t="s">
        <v>324</v>
      </c>
      <c r="C6" s="14"/>
      <c r="D6" s="7" t="s">
        <v>325</v>
      </c>
      <c r="E6" s="14"/>
      <c r="F6" s="7" t="s">
        <v>113</v>
      </c>
      <c r="G6" s="14"/>
      <c r="H6" s="3" t="s">
        <v>326</v>
      </c>
      <c r="I6" s="16"/>
      <c r="J6" s="7" t="s">
        <v>327</v>
      </c>
      <c r="K6" s="7" t="s">
        <v>328</v>
      </c>
    </row>
    <row r="7" customFormat="false" ht="12.75" hidden="false" customHeight="false" outlineLevel="0" collapsed="false">
      <c r="C7" s="14"/>
      <c r="E7" s="14"/>
      <c r="G7" s="14"/>
      <c r="I7" s="16"/>
    </row>
    <row r="8" customFormat="false" ht="12.75" hidden="false" customHeight="false" outlineLevel="0" collapsed="false">
      <c r="B8" s="17" t="s">
        <v>329</v>
      </c>
      <c r="C8" s="14"/>
      <c r="D8" s="17" t="s">
        <v>311</v>
      </c>
      <c r="E8" s="14"/>
      <c r="F8" s="17" t="s">
        <v>330</v>
      </c>
      <c r="G8" s="14"/>
      <c r="H8" s="15" t="s">
        <v>331</v>
      </c>
      <c r="I8" s="16"/>
      <c r="J8" s="7" t="s">
        <v>332</v>
      </c>
      <c r="K8" s="7" t="s">
        <v>25</v>
      </c>
    </row>
    <row r="9" customFormat="false" ht="12.75" hidden="false" customHeight="false" outlineLevel="0" collapsed="false">
      <c r="B9" s="7" t="s">
        <v>333</v>
      </c>
      <c r="C9" s="14"/>
      <c r="D9" s="7" t="s">
        <v>334</v>
      </c>
      <c r="E9" s="14"/>
      <c r="F9" s="7" t="s">
        <v>335</v>
      </c>
      <c r="G9" s="14"/>
      <c r="H9" s="3" t="s">
        <v>336</v>
      </c>
      <c r="I9" s="16"/>
      <c r="J9" s="7" t="s">
        <v>337</v>
      </c>
      <c r="K9" s="7" t="s">
        <v>25</v>
      </c>
    </row>
    <row r="10" customFormat="false" ht="12.75" hidden="false" customHeight="false" outlineLevel="0" collapsed="false">
      <c r="C10" s="14"/>
      <c r="E10" s="14"/>
      <c r="G10" s="14"/>
      <c r="I10" s="16"/>
    </row>
    <row r="11" customFormat="false" ht="12.75" hidden="false" customHeight="false" outlineLevel="0" collapsed="false">
      <c r="C11" s="14"/>
      <c r="E11" s="14"/>
      <c r="G11" s="14"/>
      <c r="I11" s="16"/>
    </row>
    <row r="12" customFormat="false" ht="12.75" hidden="false" customHeight="false" outlineLevel="0" collapsed="false">
      <c r="C12" s="14"/>
      <c r="E12" s="14"/>
      <c r="G12" s="14"/>
      <c r="I12" s="16"/>
    </row>
    <row r="13" customFormat="false" ht="12.75" hidden="false" customHeight="false" outlineLevel="0" collapsed="false">
      <c r="C13" s="14"/>
      <c r="E13" s="14"/>
      <c r="G13" s="14"/>
      <c r="I13" s="16"/>
    </row>
    <row r="14" customFormat="false" ht="12.75" hidden="false" customHeight="false" outlineLevel="0" collapsed="false">
      <c r="C14" s="14"/>
      <c r="E14" s="14"/>
      <c r="G14" s="14"/>
      <c r="I14" s="16"/>
    </row>
    <row r="15" customFormat="false" ht="12.75" hidden="false" customHeight="false" outlineLevel="0" collapsed="false">
      <c r="C15" s="14"/>
      <c r="E15" s="14"/>
      <c r="G15" s="14"/>
      <c r="I15" s="16"/>
    </row>
    <row r="16" customFormat="false" ht="12.75" hidden="false" customHeight="false" outlineLevel="0" collapsed="false">
      <c r="C16" s="14"/>
      <c r="E16" s="14"/>
      <c r="G16" s="14"/>
      <c r="I16" s="16"/>
    </row>
    <row r="17" customFormat="false" ht="12.75" hidden="false" customHeight="false" outlineLevel="0" collapsed="false">
      <c r="C17" s="14"/>
      <c r="E17" s="14"/>
      <c r="G17" s="14"/>
      <c r="I17" s="16"/>
    </row>
    <row r="18" customFormat="false" ht="12.75" hidden="false" customHeight="false" outlineLevel="0" collapsed="false">
      <c r="C18" s="14"/>
      <c r="E18" s="14"/>
      <c r="G18" s="14"/>
      <c r="I18" s="16"/>
    </row>
    <row r="19" customFormat="false" ht="12.75" hidden="false" customHeight="false" outlineLevel="0" collapsed="false">
      <c r="C19" s="14"/>
      <c r="E19" s="14"/>
      <c r="G19" s="14"/>
      <c r="I19" s="16"/>
    </row>
    <row r="20" customFormat="false" ht="12.75" hidden="false" customHeight="false" outlineLevel="0" collapsed="false">
      <c r="C20" s="14"/>
      <c r="E20" s="14"/>
      <c r="G20" s="14"/>
      <c r="I20" s="16"/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0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H20" activeCellId="0" sqref="H20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2" min="2" style="7" width="14.74"/>
    <col collapsed="false" customWidth="true" hidden="false" outlineLevel="0" max="3" min="3" style="7" width="1.39"/>
    <col collapsed="false" customWidth="true" hidden="false" outlineLevel="0" max="4" min="4" style="7" width="14.05"/>
    <col collapsed="false" customWidth="true" hidden="false" outlineLevel="0" max="5" min="5" style="7" width="1.39"/>
    <col collapsed="false" customWidth="true" hidden="false" outlineLevel="0" max="6" min="6" style="7" width="25.32"/>
    <col collapsed="false" customWidth="true" hidden="false" outlineLevel="0" max="7" min="7" style="7" width="1.39"/>
    <col collapsed="false" customWidth="true" hidden="false" outlineLevel="0" max="8" min="8" style="3" width="44.38"/>
    <col collapsed="false" customWidth="true" hidden="false" outlineLevel="0" max="16" min="9" style="0" width="3.58"/>
    <col collapsed="false" customWidth="true" hidden="false" outlineLevel="0" max="17" min="17" style="0" width="3.75"/>
    <col collapsed="false" customWidth="true" hidden="false" outlineLevel="0" max="29" min="18" style="0" width="3.58"/>
  </cols>
  <sheetData>
    <row r="1" customFormat="false" ht="12.75" hidden="false" customHeight="false" outlineLevel="0" collapsed="false">
      <c r="A1" s="18" t="str">
        <f aca="false">"register offset = " &amp; CommandList!O27</f>
        <v>register offset = 0x0A6E</v>
      </c>
      <c r="B1" s="18"/>
      <c r="C1" s="17"/>
      <c r="E1" s="17"/>
      <c r="G1" s="17"/>
      <c r="H1" s="3" t="s">
        <v>338</v>
      </c>
      <c r="I1" s="5" t="s">
        <v>70</v>
      </c>
      <c r="J1" s="5"/>
      <c r="K1" s="5"/>
      <c r="L1" s="5"/>
      <c r="M1" s="5"/>
      <c r="N1" s="5"/>
      <c r="O1" s="5"/>
      <c r="P1" s="5"/>
      <c r="Q1" s="5"/>
    </row>
    <row r="2" customFormat="false" ht="12.75" hidden="false" customHeight="false" outlineLevel="0" collapsed="false">
      <c r="C2" s="17"/>
      <c r="E2" s="17"/>
      <c r="G2" s="17"/>
      <c r="I2" s="5" t="s">
        <v>339</v>
      </c>
      <c r="J2" s="5"/>
      <c r="K2" s="5"/>
      <c r="L2" s="5"/>
      <c r="M2" s="5"/>
      <c r="N2" s="5"/>
      <c r="O2" s="5"/>
      <c r="P2" s="5"/>
      <c r="Q2" s="5"/>
    </row>
    <row r="3" customFormat="false" ht="12.75" hidden="false" customHeight="false" outlineLevel="0" collapsed="false">
      <c r="B3" s="7" t="s">
        <v>67</v>
      </c>
      <c r="C3" s="14"/>
      <c r="D3" s="7" t="s">
        <v>68</v>
      </c>
      <c r="E3" s="14"/>
      <c r="F3" s="7" t="s">
        <v>69</v>
      </c>
      <c r="G3" s="14"/>
      <c r="H3" s="3" t="s">
        <v>6</v>
      </c>
      <c r="J3" s="7" t="n">
        <v>1</v>
      </c>
      <c r="K3" s="7" t="n">
        <v>2</v>
      </c>
      <c r="L3" s="7" t="n">
        <v>3</v>
      </c>
      <c r="M3" s="7" t="n">
        <v>4</v>
      </c>
      <c r="N3" s="7" t="n">
        <v>5</v>
      </c>
      <c r="O3" s="7" t="n">
        <v>6</v>
      </c>
      <c r="P3" s="7" t="n">
        <v>7</v>
      </c>
      <c r="Q3" s="7" t="n">
        <v>8</v>
      </c>
      <c r="R3" s="7" t="n">
        <v>9</v>
      </c>
      <c r="S3" s="7" t="n">
        <v>10</v>
      </c>
      <c r="T3" s="7" t="n">
        <v>11</v>
      </c>
      <c r="U3" s="7" t="n">
        <v>12</v>
      </c>
      <c r="V3" s="7" t="n">
        <v>13</v>
      </c>
      <c r="W3" s="7" t="n">
        <v>14</v>
      </c>
      <c r="X3" s="7" t="n">
        <v>15</v>
      </c>
      <c r="Y3" s="7" t="n">
        <v>16</v>
      </c>
      <c r="Z3" s="7" t="n">
        <v>17</v>
      </c>
      <c r="AA3" s="7" t="n">
        <v>18</v>
      </c>
      <c r="AB3" s="7" t="n">
        <v>19</v>
      </c>
      <c r="AC3" s="7" t="n">
        <v>20</v>
      </c>
    </row>
    <row r="4" customFormat="false" ht="7.45" hidden="false" customHeight="true" outlineLevel="0" collapsed="false">
      <c r="A4" s="19"/>
      <c r="B4" s="14"/>
      <c r="C4" s="14"/>
      <c r="D4" s="14"/>
      <c r="E4" s="14"/>
      <c r="F4" s="14"/>
      <c r="G4" s="14"/>
      <c r="H4" s="16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customFormat="false" ht="12.75" hidden="false" customHeight="false" outlineLevel="0" collapsed="false">
      <c r="B5" s="7" t="s">
        <v>24</v>
      </c>
      <c r="C5" s="14"/>
      <c r="D5" s="7" t="s">
        <v>54</v>
      </c>
      <c r="E5" s="14"/>
      <c r="F5" s="7" t="s">
        <v>340</v>
      </c>
      <c r="G5" s="14"/>
      <c r="H5" s="3" t="s">
        <v>341</v>
      </c>
      <c r="I5" s="7"/>
      <c r="J5" s="7" t="s">
        <v>342</v>
      </c>
      <c r="K5" s="7"/>
      <c r="L5" s="7" t="s">
        <v>343</v>
      </c>
      <c r="M5" s="7"/>
      <c r="N5" s="7" t="s">
        <v>344</v>
      </c>
      <c r="O5" s="7"/>
      <c r="P5" s="7" t="s">
        <v>345</v>
      </c>
      <c r="Q5" s="7"/>
      <c r="R5" s="7" t="s">
        <v>346</v>
      </c>
      <c r="S5" s="7"/>
      <c r="T5" s="7" t="s">
        <v>347</v>
      </c>
      <c r="U5" s="7"/>
      <c r="V5" s="7" t="s">
        <v>348</v>
      </c>
      <c r="W5" s="7"/>
      <c r="X5" s="7" t="s">
        <v>349</v>
      </c>
      <c r="Y5" s="7"/>
      <c r="Z5" s="7" t="s">
        <v>350</v>
      </c>
      <c r="AA5" s="7"/>
      <c r="AB5" s="7" t="s">
        <v>351</v>
      </c>
      <c r="AC5" s="7"/>
    </row>
    <row r="6" customFormat="false" ht="12.75" hidden="false" customHeight="false" outlineLevel="0" collapsed="false">
      <c r="B6" s="7" t="s">
        <v>128</v>
      </c>
      <c r="C6" s="14"/>
      <c r="D6" s="7" t="s">
        <v>352</v>
      </c>
      <c r="E6" s="14"/>
      <c r="F6" s="7" t="s">
        <v>340</v>
      </c>
      <c r="G6" s="14"/>
      <c r="H6" s="3" t="s">
        <v>353</v>
      </c>
      <c r="I6" s="7" t="s">
        <v>354</v>
      </c>
      <c r="J6" s="7"/>
      <c r="K6" s="7" t="s">
        <v>355</v>
      </c>
      <c r="L6" s="7"/>
      <c r="M6" s="7" t="s">
        <v>356</v>
      </c>
      <c r="N6" s="7"/>
      <c r="O6" s="7" t="s">
        <v>357</v>
      </c>
      <c r="P6" s="7"/>
      <c r="Q6" s="7" t="s">
        <v>358</v>
      </c>
      <c r="R6" s="7"/>
      <c r="S6" s="7" t="s">
        <v>359</v>
      </c>
      <c r="T6" s="7"/>
      <c r="U6" s="7" t="s">
        <v>360</v>
      </c>
      <c r="V6" s="7"/>
      <c r="W6" s="7" t="s">
        <v>361</v>
      </c>
      <c r="X6" s="7"/>
      <c r="Y6" s="7" t="s">
        <v>362</v>
      </c>
      <c r="Z6" s="7"/>
      <c r="AA6" s="7" t="s">
        <v>363</v>
      </c>
      <c r="AB6" s="7"/>
      <c r="AC6" s="7" t="s">
        <v>364</v>
      </c>
    </row>
    <row r="7" customFormat="false" ht="12.75" hidden="false" customHeight="false" outlineLevel="0" collapsed="false">
      <c r="B7" s="7" t="s">
        <v>131</v>
      </c>
      <c r="C7" s="14"/>
      <c r="D7" s="7" t="s">
        <v>365</v>
      </c>
      <c r="E7" s="14"/>
      <c r="F7" s="7" t="s">
        <v>340</v>
      </c>
      <c r="G7" s="14"/>
      <c r="H7" s="3" t="s">
        <v>366</v>
      </c>
      <c r="I7" s="7"/>
      <c r="J7" s="7" t="s">
        <v>367</v>
      </c>
      <c r="K7" s="7"/>
      <c r="L7" s="7" t="s">
        <v>368</v>
      </c>
      <c r="M7" s="7"/>
      <c r="N7" s="7" t="s">
        <v>369</v>
      </c>
      <c r="O7" s="7"/>
      <c r="P7" s="7" t="s">
        <v>370</v>
      </c>
      <c r="Q7" s="7"/>
      <c r="R7" s="7" t="s">
        <v>371</v>
      </c>
      <c r="S7" s="7"/>
      <c r="T7" s="7" t="s">
        <v>372</v>
      </c>
      <c r="U7" s="7"/>
      <c r="V7" s="7" t="s">
        <v>373</v>
      </c>
      <c r="W7" s="7"/>
      <c r="X7" s="7" t="s">
        <v>374</v>
      </c>
      <c r="Y7" s="7"/>
      <c r="Z7" s="7" t="s">
        <v>375</v>
      </c>
      <c r="AA7" s="7"/>
      <c r="AB7" s="7" t="s">
        <v>376</v>
      </c>
      <c r="AC7" s="7"/>
    </row>
    <row r="8" customFormat="false" ht="12.75" hidden="false" customHeight="false" outlineLevel="0" collapsed="false">
      <c r="B8" s="7" t="s">
        <v>377</v>
      </c>
      <c r="C8" s="14"/>
      <c r="D8" s="7" t="s">
        <v>378</v>
      </c>
      <c r="E8" s="14"/>
      <c r="F8" s="7" t="s">
        <v>340</v>
      </c>
      <c r="G8" s="14"/>
      <c r="H8" s="3" t="s">
        <v>379</v>
      </c>
      <c r="I8" s="0" t="s">
        <v>380</v>
      </c>
      <c r="K8" s="0" t="s">
        <v>381</v>
      </c>
      <c r="M8" s="0" t="s">
        <v>382</v>
      </c>
      <c r="O8" s="0" t="s">
        <v>383</v>
      </c>
      <c r="Q8" s="0" t="s">
        <v>384</v>
      </c>
      <c r="S8" s="0" t="s">
        <v>385</v>
      </c>
      <c r="U8" s="0" t="s">
        <v>386</v>
      </c>
      <c r="W8" s="0" t="s">
        <v>387</v>
      </c>
      <c r="Y8" s="0" t="s">
        <v>388</v>
      </c>
      <c r="AA8" s="0" t="s">
        <v>389</v>
      </c>
      <c r="AC8" s="0" t="s">
        <v>390</v>
      </c>
    </row>
    <row r="9" customFormat="false" ht="12.75" hidden="false" customHeight="false" outlineLevel="0" collapsed="false">
      <c r="C9" s="14"/>
      <c r="E9" s="14"/>
      <c r="G9" s="1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customFormat="false" ht="12.75" hidden="false" customHeight="false" outlineLevel="0" collapsed="false">
      <c r="C10" s="14"/>
      <c r="E10" s="14"/>
      <c r="G10" s="14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customFormat="false" ht="12.75" hidden="false" customHeight="false" outlineLevel="0" collapsed="false">
      <c r="C11" s="14"/>
      <c r="E11" s="14"/>
      <c r="G11" s="14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customFormat="false" ht="12.75" hidden="false" customHeight="false" outlineLevel="0" collapsed="false">
      <c r="C12" s="14"/>
      <c r="E12" s="14"/>
      <c r="G12" s="14"/>
    </row>
    <row r="13" customFormat="false" ht="12.75" hidden="false" customHeight="false" outlineLevel="0" collapsed="false">
      <c r="C13" s="14"/>
      <c r="E13" s="14"/>
      <c r="G13" s="14"/>
    </row>
    <row r="14" customFormat="false" ht="12.75" hidden="false" customHeight="false" outlineLevel="0" collapsed="false">
      <c r="C14" s="14"/>
      <c r="E14" s="14"/>
      <c r="G14" s="14"/>
    </row>
    <row r="15" customFormat="false" ht="12.75" hidden="false" customHeight="false" outlineLevel="0" collapsed="false">
      <c r="C15" s="14"/>
      <c r="E15" s="14"/>
      <c r="G15" s="14"/>
    </row>
    <row r="16" customFormat="false" ht="12.75" hidden="false" customHeight="false" outlineLevel="0" collapsed="false">
      <c r="C16" s="14"/>
      <c r="E16" s="14"/>
      <c r="G16" s="14"/>
    </row>
    <row r="17" customFormat="false" ht="12.75" hidden="false" customHeight="false" outlineLevel="0" collapsed="false">
      <c r="C17" s="14"/>
      <c r="E17" s="14"/>
      <c r="G17" s="14"/>
    </row>
    <row r="18" customFormat="false" ht="12.75" hidden="false" customHeight="false" outlineLevel="0" collapsed="false">
      <c r="C18" s="14"/>
      <c r="E18" s="14"/>
      <c r="G18" s="14"/>
    </row>
    <row r="19" customFormat="false" ht="12.75" hidden="false" customHeight="false" outlineLevel="0" collapsed="false">
      <c r="C19" s="14"/>
      <c r="E19" s="14"/>
      <c r="G19" s="14"/>
    </row>
    <row r="20" customFormat="false" ht="12.75" hidden="false" customHeight="false" outlineLevel="0" collapsed="false">
      <c r="C20" s="14"/>
      <c r="E20" s="14"/>
      <c r="G20" s="14"/>
    </row>
  </sheetData>
  <mergeCells count="3">
    <mergeCell ref="A1:B1"/>
    <mergeCell ref="I1:Q1"/>
    <mergeCell ref="I2:Q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2" min="2" style="7" width="14.74"/>
    <col collapsed="false" customWidth="true" hidden="false" outlineLevel="0" max="3" min="3" style="7" width="1.39"/>
    <col collapsed="false" customWidth="true" hidden="false" outlineLevel="0" max="4" min="4" style="7" width="14.05"/>
    <col collapsed="false" customWidth="true" hidden="false" outlineLevel="0" max="5" min="5" style="7" width="1.39"/>
    <col collapsed="false" customWidth="true" hidden="false" outlineLevel="0" max="6" min="6" style="7" width="27.96"/>
    <col collapsed="false" customWidth="true" hidden="false" outlineLevel="0" max="7" min="7" style="7" width="1.39"/>
    <col collapsed="false" customWidth="true" hidden="false" outlineLevel="0" max="8" min="8" style="3" width="77.07"/>
    <col collapsed="false" customWidth="true" hidden="false" outlineLevel="0" max="9" min="9" style="3" width="1.67"/>
    <col collapsed="false" customWidth="false" hidden="false" outlineLevel="0" max="11" min="10" style="7" width="11.53"/>
  </cols>
  <sheetData>
    <row r="1" customFormat="false" ht="12.75" hidden="false" customHeight="false" outlineLevel="0" collapsed="false">
      <c r="A1" s="18" t="str">
        <f aca="false">"register offset = " &amp; CommandList!O18</f>
        <v>register offset = 0x12EC</v>
      </c>
      <c r="B1" s="18"/>
      <c r="C1" s="17"/>
      <c r="E1" s="17"/>
      <c r="G1" s="17"/>
    </row>
    <row r="2" customFormat="false" ht="12.75" hidden="false" customHeight="false" outlineLevel="0" collapsed="false">
      <c r="C2" s="17"/>
      <c r="E2" s="17"/>
      <c r="G2" s="17"/>
    </row>
    <row r="3" customFormat="false" ht="12.75" hidden="false" customHeight="false" outlineLevel="0" collapsed="false">
      <c r="B3" s="7" t="s">
        <v>67</v>
      </c>
      <c r="C3" s="14"/>
      <c r="D3" s="7" t="s">
        <v>68</v>
      </c>
      <c r="E3" s="14"/>
      <c r="F3" s="7" t="s">
        <v>69</v>
      </c>
      <c r="G3" s="14"/>
      <c r="H3" s="3" t="s">
        <v>6</v>
      </c>
      <c r="J3" s="7" t="s">
        <v>322</v>
      </c>
      <c r="K3" s="7" t="s">
        <v>323</v>
      </c>
    </row>
    <row r="4" customFormat="false" ht="7.45" hidden="false" customHeight="true" outlineLevel="0" collapsed="false">
      <c r="A4" s="19"/>
      <c r="B4" s="14"/>
      <c r="C4" s="14"/>
      <c r="D4" s="14"/>
      <c r="E4" s="14"/>
      <c r="F4" s="14"/>
      <c r="G4" s="14"/>
      <c r="H4" s="16"/>
      <c r="I4" s="16"/>
      <c r="J4" s="14"/>
      <c r="K4" s="14"/>
    </row>
    <row r="5" customFormat="false" ht="12.75" hidden="false" customHeight="true" outlineLevel="0" collapsed="false">
      <c r="A5" s="19"/>
      <c r="B5" s="17" t="s">
        <v>391</v>
      </c>
      <c r="C5" s="14"/>
      <c r="D5" s="17" t="s">
        <v>311</v>
      </c>
      <c r="E5" s="14"/>
      <c r="F5" s="17" t="s">
        <v>330</v>
      </c>
      <c r="G5" s="14"/>
      <c r="H5" s="15" t="s">
        <v>331</v>
      </c>
      <c r="I5" s="15"/>
      <c r="J5" s="7" t="s">
        <v>332</v>
      </c>
      <c r="K5" s="7" t="s">
        <v>25</v>
      </c>
    </row>
    <row r="6" customFormat="false" ht="12.75" hidden="false" customHeight="false" outlineLevel="0" collapsed="false">
      <c r="B6" s="7" t="s">
        <v>392</v>
      </c>
      <c r="C6" s="14"/>
      <c r="D6" s="7" t="s">
        <v>334</v>
      </c>
      <c r="E6" s="14"/>
      <c r="F6" s="7" t="s">
        <v>335</v>
      </c>
      <c r="G6" s="14"/>
      <c r="H6" s="3" t="s">
        <v>336</v>
      </c>
      <c r="J6" s="7" t="s">
        <v>337</v>
      </c>
      <c r="K6" s="7" t="s">
        <v>25</v>
      </c>
    </row>
    <row r="7" customFormat="false" ht="12.75" hidden="false" customHeight="false" outlineLevel="0" collapsed="false">
      <c r="C7" s="14"/>
      <c r="E7" s="14"/>
      <c r="G7" s="14"/>
    </row>
    <row r="8" customFormat="false" ht="12.75" hidden="false" customHeight="false" outlineLevel="0" collapsed="false">
      <c r="B8" s="7" t="s">
        <v>393</v>
      </c>
      <c r="C8" s="14"/>
      <c r="D8" s="7" t="s">
        <v>314</v>
      </c>
      <c r="E8" s="14"/>
      <c r="F8" s="7" t="s">
        <v>113</v>
      </c>
      <c r="G8" s="14"/>
      <c r="H8" s="3" t="s">
        <v>394</v>
      </c>
    </row>
    <row r="9" customFormat="false" ht="12.75" hidden="false" customHeight="false" outlineLevel="0" collapsed="false">
      <c r="B9" s="7" t="s">
        <v>395</v>
      </c>
      <c r="C9" s="14"/>
      <c r="D9" s="7" t="s">
        <v>112</v>
      </c>
      <c r="E9" s="14"/>
      <c r="F9" s="7" t="s">
        <v>113</v>
      </c>
      <c r="G9" s="14"/>
      <c r="H9" s="3" t="s">
        <v>114</v>
      </c>
    </row>
    <row r="10" customFormat="false" ht="12.75" hidden="false" customHeight="false" outlineLevel="0" collapsed="false">
      <c r="B10" s="7" t="s">
        <v>396</v>
      </c>
      <c r="C10" s="14"/>
      <c r="D10" s="7" t="s">
        <v>397</v>
      </c>
      <c r="E10" s="14"/>
      <c r="F10" s="7" t="s">
        <v>113</v>
      </c>
      <c r="G10" s="14"/>
      <c r="H10" s="3" t="s">
        <v>326</v>
      </c>
      <c r="J10" s="7" t="s">
        <v>327</v>
      </c>
      <c r="K10" s="7" t="s">
        <v>328</v>
      </c>
    </row>
    <row r="11" customFormat="false" ht="12.75" hidden="false" customHeight="false" outlineLevel="0" collapsed="false">
      <c r="C11" s="14"/>
      <c r="E11" s="14"/>
      <c r="G11" s="14"/>
    </row>
    <row r="12" customFormat="false" ht="12.75" hidden="false" customHeight="false" outlineLevel="0" collapsed="false">
      <c r="C12" s="14"/>
      <c r="E12" s="14"/>
      <c r="G12" s="14"/>
    </row>
    <row r="13" customFormat="false" ht="12.75" hidden="false" customHeight="false" outlineLevel="0" collapsed="false">
      <c r="B13" s="7" t="s">
        <v>398</v>
      </c>
      <c r="C13" s="14"/>
      <c r="D13" s="7" t="s">
        <v>175</v>
      </c>
      <c r="E13" s="14"/>
      <c r="F13" s="7" t="s">
        <v>113</v>
      </c>
      <c r="G13" s="14"/>
      <c r="H13" s="3" t="s">
        <v>176</v>
      </c>
    </row>
    <row r="14" customFormat="false" ht="12.75" hidden="false" customHeight="false" outlineLevel="0" collapsed="false">
      <c r="B14" s="7" t="s">
        <v>399</v>
      </c>
      <c r="C14" s="14"/>
      <c r="D14" s="7" t="s">
        <v>230</v>
      </c>
      <c r="E14" s="14"/>
      <c r="F14" s="7" t="s">
        <v>113</v>
      </c>
      <c r="G14" s="14"/>
      <c r="H14" s="3" t="s">
        <v>231</v>
      </c>
    </row>
    <row r="15" customFormat="false" ht="12.75" hidden="false" customHeight="false" outlineLevel="0" collapsed="false">
      <c r="C15" s="14"/>
      <c r="E15" s="14"/>
      <c r="G15" s="14"/>
    </row>
    <row r="16" customFormat="false" ht="12.75" hidden="false" customHeight="false" outlineLevel="0" collapsed="false">
      <c r="B16" s="7" t="s">
        <v>400</v>
      </c>
      <c r="C16" s="14"/>
      <c r="D16" s="7" t="s">
        <v>401</v>
      </c>
      <c r="E16" s="14"/>
      <c r="F16" s="7" t="s">
        <v>113</v>
      </c>
      <c r="G16" s="14"/>
      <c r="H16" s="3" t="s">
        <v>117</v>
      </c>
    </row>
    <row r="17" customFormat="false" ht="12.75" hidden="false" customHeight="false" outlineLevel="0" collapsed="false">
      <c r="C17" s="14"/>
      <c r="E17" s="14"/>
      <c r="G17" s="14"/>
    </row>
    <row r="18" customFormat="false" ht="12.75" hidden="false" customHeight="false" outlineLevel="0" collapsed="false">
      <c r="B18" s="7" t="s">
        <v>402</v>
      </c>
      <c r="C18" s="14"/>
      <c r="E18" s="14"/>
      <c r="G18" s="14"/>
    </row>
    <row r="19" customFormat="false" ht="12.75" hidden="false" customHeight="false" outlineLevel="0" collapsed="false">
      <c r="C19" s="14"/>
      <c r="E19" s="14"/>
      <c r="G19" s="14"/>
    </row>
    <row r="20" customFormat="false" ht="12.75" hidden="false" customHeight="false" outlineLevel="0" collapsed="false">
      <c r="B20" s="7" t="s">
        <v>403</v>
      </c>
      <c r="C20" s="14"/>
      <c r="D20" s="7" t="s">
        <v>404</v>
      </c>
      <c r="E20" s="14"/>
      <c r="F20" s="7" t="s">
        <v>113</v>
      </c>
      <c r="G20" s="14"/>
      <c r="H20" s="3" t="s">
        <v>405</v>
      </c>
    </row>
    <row r="21" customFormat="false" ht="12.75" hidden="false" customHeight="false" outlineLevel="0" collapsed="false">
      <c r="B21" s="7" t="s">
        <v>406</v>
      </c>
      <c r="C21" s="14"/>
      <c r="D21" s="7" t="s">
        <v>407</v>
      </c>
      <c r="E21" s="14"/>
      <c r="F21" s="7" t="s">
        <v>113</v>
      </c>
      <c r="G21" s="14"/>
      <c r="H21" s="3" t="s">
        <v>408</v>
      </c>
    </row>
    <row r="22" customFormat="false" ht="12.75" hidden="false" customHeight="false" outlineLevel="0" collapsed="false">
      <c r="B22" s="7" t="s">
        <v>409</v>
      </c>
      <c r="C22" s="14"/>
      <c r="D22" s="7" t="s">
        <v>410</v>
      </c>
      <c r="E22" s="14"/>
      <c r="F22" s="7" t="s">
        <v>113</v>
      </c>
      <c r="G22" s="14"/>
      <c r="H22" s="3" t="s">
        <v>411</v>
      </c>
    </row>
    <row r="23" customFormat="false" ht="12.75" hidden="false" customHeight="false" outlineLevel="0" collapsed="false">
      <c r="B23" s="7" t="s">
        <v>412</v>
      </c>
      <c r="D23" s="7" t="s">
        <v>413</v>
      </c>
      <c r="F23" s="7" t="s">
        <v>113</v>
      </c>
      <c r="H23" s="3" t="s">
        <v>414</v>
      </c>
    </row>
    <row r="24" customFormat="false" ht="12.75" hidden="false" customHeight="false" outlineLevel="0" collapsed="false">
      <c r="B24" s="7" t="s">
        <v>415</v>
      </c>
      <c r="D24" s="7" t="s">
        <v>416</v>
      </c>
      <c r="F24" s="7" t="s">
        <v>113</v>
      </c>
      <c r="H24" s="3" t="s">
        <v>417</v>
      </c>
    </row>
    <row r="25" customFormat="false" ht="12.75" hidden="false" customHeight="false" outlineLevel="0" collapsed="false">
      <c r="B25" s="7" t="s">
        <v>418</v>
      </c>
      <c r="C25" s="0"/>
      <c r="D25" s="7" t="s">
        <v>419</v>
      </c>
      <c r="E25" s="0"/>
      <c r="F25" s="7" t="s">
        <v>113</v>
      </c>
      <c r="G25" s="0"/>
      <c r="H25" s="0" t="s">
        <v>420</v>
      </c>
    </row>
    <row r="26" customFormat="false" ht="12.75" hidden="false" customHeight="false" outlineLevel="0" collapsed="false">
      <c r="B26" s="7" t="s">
        <v>421</v>
      </c>
      <c r="D26" s="7" t="s">
        <v>422</v>
      </c>
      <c r="F26" s="7" t="s">
        <v>113</v>
      </c>
      <c r="H26" s="3" t="s">
        <v>423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2" min="2" style="7" width="14.74"/>
    <col collapsed="false" customWidth="true" hidden="false" outlineLevel="0" max="3" min="3" style="7" width="1.39"/>
    <col collapsed="false" customWidth="true" hidden="false" outlineLevel="0" max="4" min="4" style="7" width="14.05"/>
    <col collapsed="false" customWidth="true" hidden="false" outlineLevel="0" max="5" min="5" style="7" width="1.39"/>
    <col collapsed="false" customWidth="true" hidden="false" outlineLevel="0" max="6" min="6" style="7" width="27.96"/>
    <col collapsed="false" customWidth="true" hidden="false" outlineLevel="0" max="7" min="7" style="7" width="1.39"/>
    <col collapsed="false" customWidth="true" hidden="false" outlineLevel="0" max="8" min="8" style="3" width="51.34"/>
  </cols>
  <sheetData>
    <row r="1" customFormat="false" ht="12.75" hidden="false" customHeight="false" outlineLevel="0" collapsed="false">
      <c r="A1" s="18" t="str">
        <f aca="false">"register offset = " &amp; CommandList!O18</f>
        <v>register offset = 0x12EC</v>
      </c>
      <c r="B1" s="18"/>
      <c r="C1" s="17"/>
      <c r="E1" s="17"/>
      <c r="G1" s="17"/>
    </row>
    <row r="2" customFormat="false" ht="12.75" hidden="false" customHeight="false" outlineLevel="0" collapsed="false">
      <c r="C2" s="17"/>
      <c r="E2" s="17"/>
      <c r="G2" s="17"/>
    </row>
    <row r="3" customFormat="false" ht="12.75" hidden="false" customHeight="false" outlineLevel="0" collapsed="false">
      <c r="B3" s="7" t="s">
        <v>67</v>
      </c>
      <c r="C3" s="14"/>
      <c r="D3" s="7" t="s">
        <v>68</v>
      </c>
      <c r="E3" s="14"/>
      <c r="F3" s="7" t="s">
        <v>69</v>
      </c>
      <c r="G3" s="14"/>
      <c r="H3" s="3" t="s">
        <v>6</v>
      </c>
    </row>
    <row r="4" customFormat="false" ht="7.45" hidden="false" customHeight="true" outlineLevel="0" collapsed="false">
      <c r="A4" s="19"/>
      <c r="B4" s="14"/>
      <c r="C4" s="14"/>
      <c r="D4" s="14"/>
      <c r="E4" s="14"/>
      <c r="F4" s="14"/>
      <c r="G4" s="14"/>
      <c r="H4" s="16"/>
    </row>
    <row r="5" customFormat="false" ht="12.75" hidden="false" customHeight="false" outlineLevel="0" collapsed="false">
      <c r="C5" s="14"/>
      <c r="E5" s="14"/>
      <c r="G5" s="14"/>
    </row>
    <row r="6" customFormat="false" ht="12.75" hidden="false" customHeight="false" outlineLevel="0" collapsed="false">
      <c r="C6" s="14"/>
      <c r="E6" s="14"/>
      <c r="G6" s="14"/>
    </row>
    <row r="7" customFormat="false" ht="12.75" hidden="false" customHeight="false" outlineLevel="0" collapsed="false">
      <c r="C7" s="14"/>
      <c r="E7" s="14"/>
      <c r="G7" s="14"/>
    </row>
    <row r="8" customFormat="false" ht="12.75" hidden="false" customHeight="false" outlineLevel="0" collapsed="false">
      <c r="C8" s="14"/>
      <c r="E8" s="14"/>
      <c r="G8" s="14"/>
    </row>
    <row r="9" customFormat="false" ht="12.75" hidden="false" customHeight="false" outlineLevel="0" collapsed="false">
      <c r="C9" s="14"/>
      <c r="E9" s="14"/>
      <c r="G9" s="14"/>
    </row>
    <row r="10" customFormat="false" ht="12.75" hidden="false" customHeight="false" outlineLevel="0" collapsed="false">
      <c r="C10" s="14"/>
      <c r="E10" s="14"/>
      <c r="G10" s="14"/>
    </row>
    <row r="11" customFormat="false" ht="12.75" hidden="false" customHeight="false" outlineLevel="0" collapsed="false">
      <c r="C11" s="14"/>
      <c r="E11" s="14"/>
      <c r="G11" s="14"/>
    </row>
    <row r="12" customFormat="false" ht="12.75" hidden="false" customHeight="false" outlineLevel="0" collapsed="false">
      <c r="C12" s="14"/>
      <c r="E12" s="14"/>
      <c r="G12" s="14"/>
    </row>
    <row r="13" customFormat="false" ht="12.75" hidden="false" customHeight="false" outlineLevel="0" collapsed="false">
      <c r="C13" s="14"/>
      <c r="E13" s="14"/>
      <c r="G13" s="14"/>
    </row>
    <row r="14" customFormat="false" ht="12.75" hidden="false" customHeight="false" outlineLevel="0" collapsed="false">
      <c r="C14" s="14"/>
      <c r="E14" s="14"/>
      <c r="G14" s="14"/>
    </row>
    <row r="15" customFormat="false" ht="12.75" hidden="false" customHeight="false" outlineLevel="0" collapsed="false">
      <c r="C15" s="14"/>
      <c r="E15" s="14"/>
      <c r="G15" s="14"/>
    </row>
    <row r="16" customFormat="false" ht="12.75" hidden="false" customHeight="false" outlineLevel="0" collapsed="false">
      <c r="C16" s="14"/>
      <c r="E16" s="14"/>
      <c r="G16" s="14"/>
    </row>
    <row r="17" customFormat="false" ht="12.75" hidden="false" customHeight="false" outlineLevel="0" collapsed="false">
      <c r="C17" s="14"/>
      <c r="E17" s="14"/>
      <c r="G17" s="14"/>
    </row>
    <row r="18" customFormat="false" ht="12.75" hidden="false" customHeight="false" outlineLevel="0" collapsed="false">
      <c r="C18" s="14"/>
      <c r="E18" s="14"/>
      <c r="G18" s="14"/>
    </row>
    <row r="19" customFormat="false" ht="12.75" hidden="false" customHeight="false" outlineLevel="0" collapsed="false">
      <c r="C19" s="14"/>
      <c r="E19" s="14"/>
      <c r="G19" s="14"/>
    </row>
    <row r="20" customFormat="false" ht="12.75" hidden="false" customHeight="false" outlineLevel="0" collapsed="false">
      <c r="C20" s="14"/>
      <c r="E20" s="14"/>
      <c r="G20" s="14"/>
    </row>
  </sheetData>
  <mergeCells count="1">
    <mergeCell ref="A1:B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7" activeCellId="0" sqref="G27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5" min="3" style="7" width="11.53"/>
    <col collapsed="false" customWidth="false" hidden="false" outlineLevel="0" max="7" min="7" style="7" width="11.53"/>
    <col collapsed="false" customWidth="true" hidden="false" outlineLevel="0" max="8" min="8" style="7" width="16.55"/>
  </cols>
  <sheetData>
    <row r="1" customFormat="false" ht="12.8" hidden="false" customHeight="false" outlineLevel="0" collapsed="false">
      <c r="A1" s="0" t="s">
        <v>424</v>
      </c>
    </row>
    <row r="3" customFormat="false" ht="12.8" hidden="false" customHeight="false" outlineLevel="0" collapsed="false">
      <c r="A3" s="7" t="s">
        <v>425</v>
      </c>
      <c r="B3" s="0" t="s">
        <v>426</v>
      </c>
    </row>
    <row r="4" customFormat="false" ht="12.8" hidden="false" customHeight="false" outlineLevel="0" collapsed="false">
      <c r="B4" s="7" t="s">
        <v>427</v>
      </c>
    </row>
    <row r="5" customFormat="false" ht="12.8" hidden="false" customHeight="false" outlineLevel="0" collapsed="false">
      <c r="C5" s="7" t="n">
        <v>1</v>
      </c>
      <c r="D5" s="7" t="s">
        <v>428</v>
      </c>
      <c r="E5" s="0"/>
    </row>
    <row r="6" customFormat="false" ht="12.8" hidden="false" customHeight="false" outlineLevel="0" collapsed="false">
      <c r="E6" s="7" t="n">
        <v>1.1</v>
      </c>
      <c r="F6" s="7" t="s">
        <v>429</v>
      </c>
      <c r="G6" s="7" t="s">
        <v>430</v>
      </c>
      <c r="H6" s="7" t="s">
        <v>431</v>
      </c>
    </row>
    <row r="7" customFormat="false" ht="12.8" hidden="false" customHeight="false" outlineLevel="0" collapsed="false">
      <c r="E7" s="7" t="n">
        <v>1.2</v>
      </c>
      <c r="F7" s="7" t="s">
        <v>432</v>
      </c>
      <c r="G7" s="7" t="s">
        <v>433</v>
      </c>
    </row>
    <row r="8" customFormat="false" ht="12.8" hidden="false" customHeight="false" outlineLevel="0" collapsed="false">
      <c r="C8" s="7" t="n">
        <v>2</v>
      </c>
      <c r="D8" s="7" t="s">
        <v>434</v>
      </c>
    </row>
    <row r="9" customFormat="false" ht="12.8" hidden="false" customHeight="false" outlineLevel="0" collapsed="false">
      <c r="C9" s="7" t="n">
        <v>3</v>
      </c>
      <c r="D9" s="7" t="s">
        <v>435</v>
      </c>
    </row>
    <row r="10" customFormat="false" ht="12.8" hidden="false" customHeight="false" outlineLevel="0" collapsed="false">
      <c r="C10" s="7" t="n">
        <v>4</v>
      </c>
      <c r="D10" s="7" t="s">
        <v>436</v>
      </c>
    </row>
    <row r="11" customFormat="false" ht="12.8" hidden="false" customHeight="false" outlineLevel="0" collapsed="false">
      <c r="C11" s="7" t="n">
        <v>5</v>
      </c>
      <c r="D11" s="7" t="s">
        <v>437</v>
      </c>
    </row>
    <row r="12" customFormat="false" ht="12.8" hidden="false" customHeight="false" outlineLevel="0" collapsed="false">
      <c r="C12" s="7" t="n">
        <v>6</v>
      </c>
      <c r="D12" s="7" t="s">
        <v>438</v>
      </c>
    </row>
    <row r="13" customFormat="false" ht="12.8" hidden="false" customHeight="false" outlineLevel="0" collapsed="false">
      <c r="C13" s="7" t="n">
        <v>7</v>
      </c>
      <c r="D13" s="7" t="s">
        <v>439</v>
      </c>
    </row>
    <row r="14" customFormat="false" ht="12.8" hidden="false" customHeight="false" outlineLevel="0" collapsed="false">
      <c r="C14" s="7" t="n">
        <v>8</v>
      </c>
      <c r="D14" s="7" t="s">
        <v>440</v>
      </c>
    </row>
    <row r="15" customFormat="false" ht="12.8" hidden="false" customHeight="false" outlineLevel="0" collapsed="false">
      <c r="C15" s="7" t="n">
        <v>9</v>
      </c>
      <c r="D15" s="7" t="s">
        <v>441</v>
      </c>
    </row>
    <row r="16" customFormat="false" ht="12.8" hidden="false" customHeight="false" outlineLevel="0" collapsed="false">
      <c r="C16" s="7" t="n">
        <v>10</v>
      </c>
      <c r="D16" s="7" t="s">
        <v>442</v>
      </c>
    </row>
    <row r="17" customFormat="false" ht="12.8" hidden="false" customHeight="false" outlineLevel="0" collapsed="false">
      <c r="C17" s="7" t="n">
        <v>11</v>
      </c>
      <c r="D17" s="7" t="s">
        <v>443</v>
      </c>
    </row>
    <row r="18" customFormat="false" ht="12.8" hidden="false" customHeight="false" outlineLevel="0" collapsed="false">
      <c r="C18" s="7" t="n">
        <v>12</v>
      </c>
      <c r="D18" s="7" t="s">
        <v>444</v>
      </c>
      <c r="E18" s="7" t="s">
        <v>445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2" min="1" style="24" width="11.53"/>
  </cols>
  <sheetData>
    <row r="3" customFormat="false" ht="12.8" hidden="false" customHeight="false" outlineLevel="0" collapsed="false">
      <c r="A3" s="24" t="s">
        <v>446</v>
      </c>
      <c r="B3" s="24" t="s">
        <v>15</v>
      </c>
    </row>
    <row r="5" customFormat="false" ht="12.8" hidden="false" customHeight="false" outlineLevel="0" collapsed="false">
      <c r="A5" s="24" t="n">
        <v>3.021</v>
      </c>
      <c r="B5" s="24" t="s">
        <v>447</v>
      </c>
    </row>
    <row r="6" customFormat="false" ht="12.8" hidden="false" customHeight="false" outlineLevel="0" collapsed="false">
      <c r="A6" s="24" t="n">
        <v>3.06</v>
      </c>
      <c r="B6" s="24" t="s">
        <v>448</v>
      </c>
    </row>
    <row r="7" customFormat="false" ht="12.8" hidden="false" customHeight="false" outlineLevel="0" collapsed="false">
      <c r="A7" s="24" t="n">
        <v>3.12</v>
      </c>
      <c r="B7" s="24" t="s">
        <v>449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2894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2026-07-07T11:42:25Z</dcterms:created>
  <dc:creator>Jannik Svenson</dc:creator>
  <dc:description/>
  <dc:language>en-AU</dc:language>
  <cp:lastModifiedBy/>
  <dcterms:modified xsi:type="dcterms:W3CDTF">2026-08-26T22:52:52Z</dcterms:modified>
  <cp:revision>60</cp:revision>
  <dc:subject/>
  <dc:title/>
</cp:coreProperties>
</file>